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Hypothèses" sheetId="2" state="visible" r:id="rId4"/>
    <sheet name="Volumétrie" sheetId="3" state="visible" r:id="rId5"/>
    <sheet name="Crédits" sheetId="4" state="visible" r:id="rId6"/>
    <sheet name="Dépôts" sheetId="5" state="visible" r:id="rId7"/>
    <sheet name="PNB" sheetId="6" state="visible" r:id="rId8"/>
    <sheet name="Charges" sheetId="7" state="visible" r:id="rId9"/>
    <sheet name="Coût risque" sheetId="8" state="visible" r:id="rId10"/>
    <sheet name="P_L" sheetId="9" state="visible" r:id="rId11"/>
    <sheet name="Bilan" sheetId="10" state="visible" r:id="rId12"/>
    <sheet name="Ratios prudentiels" sheetId="11" state="visible" r:id="rId13"/>
    <sheet name="KPIs" sheetId="12" state="visible" r:id="rId14"/>
    <sheet name="Stress tests" sheetId="13" state="visible" r:id="rId15"/>
    <sheet name="TFT" sheetId="14" state="visible" r:id="rId16"/>
    <sheet name="Scénario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<sst xmlns="http://schemas.openxmlformats.org/spreadsheetml/2006/main" count="457" uniqueCount="364">
  <si>
    <t xml:space="preserve">MODÈLE FINANCIER — BANQUE UNIVERSELLE — ZONE UEMOA/CEMAC</t>
  </si>
  <si>
    <t xml:space="preserve">H&amp;C Group — Référence multisectorielle</t>
  </si>
  <si>
    <t xml:space="preserve">Conformité : SYSCOHADA Bancaire — IFRS 9 — Bâle III</t>
  </si>
  <si>
    <t xml:space="preserve">1. OBJET DU MODÈLE</t>
  </si>
  <si>
    <t xml:space="preserve">Objet</t>
  </si>
  <si>
    <t xml:space="preserve">Plan d'affaires sur 5 ans d'une banque universelle de zone UEMOA ou CEMAC. Modèle de référence pour les équipes de développement de l'outil multisectoriel H&amp;C Group et exemple d'application pour les directions financières.</t>
  </si>
  <si>
    <t xml:space="preserve">Périmètre</t>
  </si>
  <si>
    <t xml:space="preserve">Activité commerciale (crédits + dépôts), produit net bancaire, charges générales, coût du risque IFRS 9, ratios prudentiels Bâle III, stress tests.</t>
  </si>
  <si>
    <t xml:space="preserve">Hypothèses clés</t>
  </si>
  <si>
    <t xml:space="preserve">Volumétrie clientèle, taux moyens crédits et dépôts, coefficient d'exploitation, RWAs, ratios cibles CET1, LCR, NSFR.</t>
  </si>
  <si>
    <t xml:space="preserve">2. STRUCTURE DU MODÈLE</t>
  </si>
  <si>
    <t xml:space="preserve">Hypothèses</t>
  </si>
  <si>
    <t xml:space="preserve">Macro, fiscalité, RH, ratios cibles</t>
  </si>
  <si>
    <t xml:space="preserve">Volumétrie</t>
  </si>
  <si>
    <t xml:space="preserve">Clients par segment, agences, croissance</t>
  </si>
  <si>
    <t xml:space="preserve">Crédits</t>
  </si>
  <si>
    <t xml:space="preserve">Encours par catégorie, taux, produits d'intérêts</t>
  </si>
  <si>
    <t xml:space="preserve">Dépôts</t>
  </si>
  <si>
    <t xml:space="preserve">Encours par catégorie, taux, coût de la collecte</t>
  </si>
  <si>
    <t xml:space="preserve">PNB</t>
  </si>
  <si>
    <t xml:space="preserve">MNI + commissions + opérations financières</t>
  </si>
  <si>
    <t xml:space="preserve">Charges</t>
  </si>
  <si>
    <t xml:space="preserve">RH, IT, immobilier, autres frais généraux</t>
  </si>
  <si>
    <t xml:space="preserve">Coût risque IFRS 9</t>
  </si>
  <si>
    <t xml:space="preserve">Provisionnement Stage 1/2/3</t>
  </si>
  <si>
    <t xml:space="preserve">P_L</t>
  </si>
  <si>
    <t xml:space="preserve">Compte de résultat bancaire complet</t>
  </si>
  <si>
    <t xml:space="preserve">Bilan</t>
  </si>
  <si>
    <t xml:space="preserve">Actif / passif, RWA, capitaux propres</t>
  </si>
  <si>
    <t xml:space="preserve">Ratios prudentiels</t>
  </si>
  <si>
    <t xml:space="preserve">CET1, CAR, levier, LCR, NSFR (Bâle III)</t>
  </si>
  <si>
    <t xml:space="preserve">KPIs</t>
  </si>
  <si>
    <t xml:space="preserve">ROE, ROA, NIM, coût/PNB</t>
  </si>
  <si>
    <t xml:space="preserve">Stress tests</t>
  </si>
  <si>
    <t xml:space="preserve">Scénarios stressés prudentiels</t>
  </si>
  <si>
    <t xml:space="preserve">TFT</t>
  </si>
  <si>
    <t xml:space="preserve">Tableau des flux de trésorerie</t>
  </si>
  <si>
    <t xml:space="preserve">Scénarios</t>
  </si>
  <si>
    <t xml:space="preserve">Vue comparée Pess/Base/Opt</t>
  </si>
  <si>
    <t xml:space="preserve">3. CODE COULEUR (NORME)</t>
  </si>
  <si>
    <t xml:space="preserve">Bleu (input)</t>
  </si>
  <si>
    <t xml:space="preserve">Cellule saisie manuellement — hypothèse modifiable</t>
  </si>
  <si>
    <t xml:space="preserve">Noir (formule)</t>
  </si>
  <si>
    <t xml:space="preserve">Cellule calculée automatiquement</t>
  </si>
  <si>
    <t xml:space="preserve">Vert (lien)</t>
  </si>
  <si>
    <t xml:space="preserve">Lien vers une autre feuille du classeur</t>
  </si>
  <si>
    <t xml:space="preserve">Fond jaune</t>
  </si>
  <si>
    <t xml:space="preserve">Hypothèse clé à vérifier</t>
  </si>
  <si>
    <t xml:space="preserve">Bandeau navy</t>
  </si>
  <si>
    <t xml:space="preserve">Titre / en-tête</t>
  </si>
  <si>
    <t xml:space="preserve">Bandeau or</t>
  </si>
  <si>
    <t xml:space="preserve">Sous-titre / regroupement</t>
  </si>
  <si>
    <t xml:space="preserve">HYPOTHÈSES — BANQUE UNIVERSELLE</t>
  </si>
  <si>
    <t xml:space="preserve">Y1 (2026)</t>
  </si>
  <si>
    <t xml:space="preserve">Y2 (2027)</t>
  </si>
  <si>
    <t xml:space="preserve">Y3 (2028)</t>
  </si>
  <si>
    <t xml:space="preserve">Y4 (2029)</t>
  </si>
  <si>
    <t xml:space="preserve">Y5 (2030)</t>
  </si>
  <si>
    <t xml:space="preserve">1. MACROÉCONOMIE &amp; FISCALITÉ</t>
  </si>
  <si>
    <t xml:space="preserve">Inflation (%)</t>
  </si>
  <si>
    <t xml:space="preserve">Zone CFA</t>
  </si>
  <si>
    <t xml:space="preserve">Taux directeur BCEAO/BEAC (%)</t>
  </si>
  <si>
    <t xml:space="preserve">Croissance du PIB (%)</t>
  </si>
  <si>
    <t xml:space="preserve">Taux IS (%)</t>
  </si>
  <si>
    <t xml:space="preserve">Standard UEMOA</t>
  </si>
  <si>
    <t xml:space="preserve">Taxe sur opérations financières TAF (%)</t>
  </si>
  <si>
    <t xml:space="preserve">Charges patronales (%)</t>
  </si>
  <si>
    <t xml:space="preserve">2. STRUCTURE COMMERCIALE</t>
  </si>
  <si>
    <t xml:space="preserve">Nombre d'agences fin de période</t>
  </si>
  <si>
    <t xml:space="preserve">Nombre de clients particuliers (k)</t>
  </si>
  <si>
    <t xml:space="preserve">En milliers</t>
  </si>
  <si>
    <t xml:space="preserve">Croissance clients particuliers (%)</t>
  </si>
  <si>
    <t xml:space="preserve">Calculé en Volumétrie</t>
  </si>
  <si>
    <t xml:space="preserve">Nombre de PME clientes</t>
  </si>
  <si>
    <t xml:space="preserve">Nombre de grands comptes corporate</t>
  </si>
  <si>
    <t xml:space="preserve">Effectifs totaux (ETP)</t>
  </si>
  <si>
    <t xml:space="preserve">Salaire chargé moyen annuel (M FCFA)</t>
  </si>
  <si>
    <t xml:space="preserve">3. ENCOURS CRÉDITS (Md FCFA)</t>
  </si>
  <si>
    <t xml:space="preserve">Crédits aux particuliers</t>
  </si>
  <si>
    <t xml:space="preserve">Crédits aux PME</t>
  </si>
  <si>
    <t xml:space="preserve">Crédits aux grandes entreprises</t>
  </si>
  <si>
    <t xml:space="preserve">Crédits-bail (leasing)</t>
  </si>
  <si>
    <t xml:space="preserve">Total encours crédits</t>
  </si>
  <si>
    <t xml:space="preserve">4. TAUX SUR CRÉDITS (%)</t>
  </si>
  <si>
    <t xml:space="preserve">Taux moyen crédits particuliers</t>
  </si>
  <si>
    <t xml:space="preserve">Taux moyen crédits PME</t>
  </si>
  <si>
    <t xml:space="preserve">Taux moyen crédits corporates</t>
  </si>
  <si>
    <t xml:space="preserve">Taux moyen crédit-bail</t>
  </si>
  <si>
    <t xml:space="preserve">5. ENCOURS DÉPÔTS (Md FCFA)</t>
  </si>
  <si>
    <t xml:space="preserve">Dépôts à vue (DAV)</t>
  </si>
  <si>
    <t xml:space="preserve">Particuliers + entreprises</t>
  </si>
  <si>
    <t xml:space="preserve">Comptes d'épargne réglementés</t>
  </si>
  <si>
    <t xml:space="preserve">Dépôts à terme (DAT)</t>
  </si>
  <si>
    <t xml:space="preserve">Autres ressources clientèle</t>
  </si>
  <si>
    <t xml:space="preserve">Total ressources clientèle</t>
  </si>
  <si>
    <t xml:space="preserve">6. TAUX SUR DÉPÔTS / COÛT COLLECTE (%)</t>
  </si>
  <si>
    <t xml:space="preserve">Rémunération DAV (%)</t>
  </si>
  <si>
    <t xml:space="preserve">Quasi nul</t>
  </si>
  <si>
    <t xml:space="preserve">Rémunération épargne (%)</t>
  </si>
  <si>
    <t xml:space="preserve">Taux réglementé</t>
  </si>
  <si>
    <t xml:space="preserve">Rémunération DAT moyenne (%)</t>
  </si>
  <si>
    <t xml:space="preserve">Rémunération autres ressources (%)</t>
  </si>
  <si>
    <t xml:space="preserve">Réserves obligatoires BCEAO sur DAV (%)</t>
  </si>
  <si>
    <t xml:space="preserve">Non rémunérées</t>
  </si>
  <si>
    <t xml:space="preserve">7. COMMISSIONS &amp; AUTRES PRODUITS (Md FCFA)</t>
  </si>
  <si>
    <t xml:space="preserve">Commissions sur opérations clientèle</t>
  </si>
  <si>
    <t xml:space="preserve">Commissions monétique (cartes, mobile)</t>
  </si>
  <si>
    <t xml:space="preserve">Commissions sur engagements</t>
  </si>
  <si>
    <t xml:space="preserve">Commissions de change</t>
  </si>
  <si>
    <t xml:space="preserve">Résultat des opérations financières</t>
  </si>
  <si>
    <t xml:space="preserve">Total commissions &amp; autres produits</t>
  </si>
  <si>
    <t xml:space="preserve">8. CHARGES GÉNÉRALES (Md FCFA)</t>
  </si>
  <si>
    <t xml:space="preserve">Loyers &amp; immobilier</t>
  </si>
  <si>
    <t xml:space="preserve">Énergie, télécoms, IT</t>
  </si>
  <si>
    <t xml:space="preserve">Marketing &amp; communication</t>
  </si>
  <si>
    <t xml:space="preserve">Honoraires, conseil, audit</t>
  </si>
  <si>
    <t xml:space="preserve">Maintenance &amp; sécurité</t>
  </si>
  <si>
    <t xml:space="preserve">Autres charges externes</t>
  </si>
  <si>
    <t xml:space="preserve">9. COÛT DU RISQUE IFRS 9 (paramètres)</t>
  </si>
  <si>
    <t xml:space="preserve">Taux de NPL crédits particuliers (%)</t>
  </si>
  <si>
    <t xml:space="preserve">Taux de NPL crédits PME (%)</t>
  </si>
  <si>
    <t xml:space="preserve">Taux de NPL crédits corporates (%)</t>
  </si>
  <si>
    <t xml:space="preserve">Provisions Stage 1 (% encours sain)</t>
  </si>
  <si>
    <t xml:space="preserve">Provisions Stage 2 (% encours watch)</t>
  </si>
  <si>
    <t xml:space="preserve">Provisions Stage 3 (% NPL)</t>
  </si>
  <si>
    <t xml:space="preserve">10. AUTRES PARAMÈTRES PRUDENTIELS</t>
  </si>
  <si>
    <t xml:space="preserve">Capital social initial (Md FCFA)</t>
  </si>
  <si>
    <t xml:space="preserve">Augmentation Y4</t>
  </si>
  <si>
    <t xml:space="preserve">Pondération RWA crédits particuliers</t>
  </si>
  <si>
    <t xml:space="preserve">Standardisée Bâle</t>
  </si>
  <si>
    <t xml:space="preserve">Pondération RWA crédits PME</t>
  </si>
  <si>
    <t xml:space="preserve">Pondération RWA crédits corporates</t>
  </si>
  <si>
    <t xml:space="preserve">Pondération RWA autres actifs</t>
  </si>
  <si>
    <t xml:space="preserve">Distribution dividendes (% RN)</t>
  </si>
  <si>
    <t xml:space="preserve">Politique progressive</t>
  </si>
  <si>
    <t xml:space="preserve">VOLUMÉTRIE CLIENTÈLE &amp; RÉSEAU</t>
  </si>
  <si>
    <t xml:space="preserve">RÉSEAU</t>
  </si>
  <si>
    <t xml:space="preserve">Nombre d'agences</t>
  </si>
  <si>
    <t xml:space="preserve">Ratio ETP / agence</t>
  </si>
  <si>
    <t xml:space="preserve">CLIENTÈLE</t>
  </si>
  <si>
    <t xml:space="preserve">Particuliers (milliers)</t>
  </si>
  <si>
    <t xml:space="preserve">Croissance particuliers (%)</t>
  </si>
  <si>
    <t xml:space="preserve">-</t>
  </si>
  <si>
    <t xml:space="preserve">Clients PME</t>
  </si>
  <si>
    <t xml:space="preserve">Grands comptes corporates</t>
  </si>
  <si>
    <t xml:space="preserve">ÉQUIPEMENT BANCAIRE (encours / client)</t>
  </si>
  <si>
    <t xml:space="preserve">Encours moyen / particulier (M FCFA)</t>
  </si>
  <si>
    <t xml:space="preserve">Encours moyen / PME (M FCFA)</t>
  </si>
  <si>
    <t xml:space="preserve">Encours moyen / corporate (M FCFA)</t>
  </si>
  <si>
    <t xml:space="preserve">ENCOURS CRÉDITS &amp; PRODUITS D'INTÉRÊTS</t>
  </si>
  <si>
    <t xml:space="preserve">ENCOURS CRÉDITS FIN DE PÉRIODE (Md FCFA)</t>
  </si>
  <si>
    <t xml:space="preserve">Crédit-bail (leasing)</t>
  </si>
  <si>
    <t xml:space="preserve">ENCOURS MOYEN (Md FCFA)</t>
  </si>
  <si>
    <t xml:space="preserve">Encours moyen particuliers</t>
  </si>
  <si>
    <t xml:space="preserve">Encours moyen PME</t>
  </si>
  <si>
    <t xml:space="preserve">Encours moyen corporates</t>
  </si>
  <si>
    <t xml:space="preserve">Encours moyen crédit-bail</t>
  </si>
  <si>
    <t xml:space="preserve">PRODUITS D'INTÉRÊTS (Md FCFA)</t>
  </si>
  <si>
    <t xml:space="preserve">Intérêts crédits particuliers</t>
  </si>
  <si>
    <t xml:space="preserve">Intérêts crédits PME</t>
  </si>
  <si>
    <t xml:space="preserve">Intérêts crédits corporates</t>
  </si>
  <si>
    <t xml:space="preserve">Intérêts crédit-bail</t>
  </si>
  <si>
    <t xml:space="preserve">Total produits d'intérêts</t>
  </si>
  <si>
    <t xml:space="preserve">RESSOURCES CLIENTÈLE &amp; COÛT DE LA COLLECTE</t>
  </si>
  <si>
    <t xml:space="preserve">ENCOURS DÉPÔTS FIN DE PÉRIODE (Md FCFA)</t>
  </si>
  <si>
    <t xml:space="preserve">Comptes d'épargne</t>
  </si>
  <si>
    <t xml:space="preserve">ENCOURS MOYEN DÉPÔTS (Md FCFA)</t>
  </si>
  <si>
    <t xml:space="preserve">Encours moyen DAV</t>
  </si>
  <si>
    <t xml:space="preserve">Encours moyen épargne</t>
  </si>
  <si>
    <t xml:space="preserve">Encours moyen DAT</t>
  </si>
  <si>
    <t xml:space="preserve">Encours moyen autres</t>
  </si>
  <si>
    <t xml:space="preserve">CHARGES D'INTÉRÊTS SUR DÉPÔTS (Md FCFA)</t>
  </si>
  <si>
    <t xml:space="preserve">Intérêts DAV</t>
  </si>
  <si>
    <t xml:space="preserve">Intérêts épargne</t>
  </si>
  <si>
    <t xml:space="preserve">Intérêts DAT</t>
  </si>
  <si>
    <t xml:space="preserve">Intérêts autres ressources</t>
  </si>
  <si>
    <t xml:space="preserve">Total charges d'intérêts dépôts</t>
  </si>
  <si>
    <t xml:space="preserve">INDICATEURS COLLECTE</t>
  </si>
  <si>
    <t xml:space="preserve">Encours moyen total ressources</t>
  </si>
  <si>
    <t xml:space="preserve">Coût moyen pondéré de la collecte (%)</t>
  </si>
  <si>
    <t xml:space="preserve">Part DAV non rémunérés (%)</t>
  </si>
  <si>
    <t xml:space="preserve">PRODUIT NET BANCAIRE</t>
  </si>
  <si>
    <t xml:space="preserve">1. MARGE NETTE D'INTÉRÊTS (MNI)</t>
  </si>
  <si>
    <t xml:space="preserve">Produits d'intérêts (crédits + placements)</t>
  </si>
  <si>
    <t xml:space="preserve">Charges d'intérêts (dépôts + emprunts)</t>
  </si>
  <si>
    <t xml:space="preserve">Marge nette d'intérêts (MNI)</t>
  </si>
  <si>
    <t xml:space="preserve">2. COMMISSIONS ET AUTRES PRODUITS</t>
  </si>
  <si>
    <t xml:space="preserve">Commissions opérations clientèle</t>
  </si>
  <si>
    <t xml:space="preserve">Commissions monétique</t>
  </si>
  <si>
    <t xml:space="preserve">Résultat opérations financières</t>
  </si>
  <si>
    <t xml:space="preserve">3. PRODUIT NET BANCAIRE TOTAL</t>
  </si>
  <si>
    <t xml:space="preserve">PNB total</t>
  </si>
  <si>
    <t xml:space="preserve">INDICATEURS DE PERFORMANCE PNB</t>
  </si>
  <si>
    <t xml:space="preserve">Part MNI dans PNB (%)</t>
  </si>
  <si>
    <t xml:space="preserve">Part commissions dans PNB (%)</t>
  </si>
  <si>
    <t xml:space="preserve">Croissance PNB (%)</t>
  </si>
  <si>
    <t xml:space="preserve">CHARGES GÉNÉRALES D'EXPLOITATION</t>
  </si>
  <si>
    <t xml:space="preserve">1. CHARGES DE PERSONNEL</t>
  </si>
  <si>
    <t xml:space="preserve">Effectifs (ETP)</t>
  </si>
  <si>
    <t xml:space="preserve">Salaire moyen chargé (M FCFA)</t>
  </si>
  <si>
    <t xml:space="preserve">Masse salariale (Md FCFA)</t>
  </si>
  <si>
    <t xml:space="preserve">2. AUTRES CHARGES GÉNÉRALES (Md FCFA)</t>
  </si>
  <si>
    <t xml:space="preserve">Total autres charges générales</t>
  </si>
  <si>
    <t xml:space="preserve">3. CHARGES TOTALES D'EXPLOITATION</t>
  </si>
  <si>
    <t xml:space="preserve">Total charges générales d'exploitation</t>
  </si>
  <si>
    <t xml:space="preserve">INDICATEURS PRODUCTIVITÉ</t>
  </si>
  <si>
    <t xml:space="preserve">Coefficient d'exploitation (Charges/PNB)</t>
  </si>
  <si>
    <t xml:space="preserve">PNB par ETP (M FCFA)</t>
  </si>
  <si>
    <t xml:space="preserve">COÛT DU RISQUE IFRS 9</t>
  </si>
  <si>
    <t xml:space="preserve">1. ENCOURS NPL (Md FCFA)</t>
  </si>
  <si>
    <t xml:space="preserve">NPL crédits particuliers</t>
  </si>
  <si>
    <t xml:space="preserve">NPL crédits PME</t>
  </si>
  <si>
    <t xml:space="preserve">NPL crédits corporates</t>
  </si>
  <si>
    <t xml:space="preserve">Total NPL</t>
  </si>
  <si>
    <t xml:space="preserve">Taux de NPL moyen (NPL/encours)</t>
  </si>
  <si>
    <t xml:space="preserve">2. RÉPARTITION DES ENCOURS PAR STAGE</t>
  </si>
  <si>
    <t xml:space="preserve">Encours total crédits</t>
  </si>
  <si>
    <t xml:space="preserve">Encours sain (Stage 1) - 85% du non-NPL</t>
  </si>
  <si>
    <t xml:space="preserve">Encours sensible (Stage 2) - 15% du non-NPL</t>
  </si>
  <si>
    <t xml:space="preserve">Encours non performant (Stage 3)</t>
  </si>
  <si>
    <t xml:space="preserve">3. PROVISIONS IFRS 9 (Md FCFA)</t>
  </si>
  <si>
    <t xml:space="preserve">Provisions Stage 1 (ECL 12 mois)</t>
  </si>
  <si>
    <t xml:space="preserve">Provisions Stage 2 (ECL lifetime)</t>
  </si>
  <si>
    <t xml:space="preserve">Provisions Stage 3 (NPL net)</t>
  </si>
  <si>
    <t xml:space="preserve">Stock total de provisions</t>
  </si>
  <si>
    <t xml:space="preserve">4. DOTATION ANNUELLE AU COÛT DU RISQUE</t>
  </si>
  <si>
    <t xml:space="preserve">Variation stock provisions (= dotation P&amp;L)</t>
  </si>
  <si>
    <t xml:space="preserve">Coût du risque / encours moyen (%)</t>
  </si>
  <si>
    <t xml:space="preserve">COMPTE DE RÉSULTAT BANCAIRE</t>
  </si>
  <si>
    <t xml:space="preserve">1. PRODUIT NET BANCAIRE</t>
  </si>
  <si>
    <t xml:space="preserve">Produit Net Bancaire (PNB)</t>
  </si>
  <si>
    <t xml:space="preserve">2. CHARGES GÉNÉRALES D'EXPLOITATION</t>
  </si>
  <si>
    <t xml:space="preserve">Charges générales d'exploitation</t>
  </si>
  <si>
    <t xml:space="preserve">3. RÉSULTAT BRUT D'EXPLOITATION</t>
  </si>
  <si>
    <t xml:space="preserve">Résultat Brut d'Exploitation (RBE)</t>
  </si>
  <si>
    <t xml:space="preserve">4. COÛT DU RISQUE</t>
  </si>
  <si>
    <t xml:space="preserve">Coût du risque (IFRS 9)</t>
  </si>
  <si>
    <t xml:space="preserve">5. RÉSULTAT D'EXPLOITATION &amp; RÉSULTAT NET</t>
  </si>
  <si>
    <t xml:space="preserve">Résultat d'exploitation</t>
  </si>
  <si>
    <t xml:space="preserve">Résultat avant impôt</t>
  </si>
  <si>
    <t xml:space="preserve">Impôt sur les sociétés (IS)</t>
  </si>
  <si>
    <t xml:space="preserve">RÉSULTAT NET</t>
  </si>
  <si>
    <t xml:space="preserve">INDICATEURS DE RENTABILITÉ</t>
  </si>
  <si>
    <t xml:space="preserve">Coefficient d'exploitation</t>
  </si>
  <si>
    <t xml:space="preserve">Marge nette (RN/PNB)</t>
  </si>
  <si>
    <t xml:space="preserve">BILAN BANCAIRE — STRUCTURE PRUDENTIELLE</t>
  </si>
  <si>
    <t xml:space="preserve">ACTIF (Md FCFA)</t>
  </si>
  <si>
    <t xml:space="preserve">Caisse &amp; banques centrales (incl. réserves obligatoires)</t>
  </si>
  <si>
    <t xml:space="preserve">Créances interbancaires</t>
  </si>
  <si>
    <t xml:space="preserve">Portefeuille de titres</t>
  </si>
  <si>
    <t xml:space="preserve">Crédits clientèle bruts</t>
  </si>
  <si>
    <t xml:space="preserve">- Provisions sur crédits</t>
  </si>
  <si>
    <t xml:space="preserve">Crédits clientèle nets</t>
  </si>
  <si>
    <t xml:space="preserve">Immobilisations nettes</t>
  </si>
  <si>
    <t xml:space="preserve">Autres actifs</t>
  </si>
  <si>
    <t xml:space="preserve">TOTAL ACTIF</t>
  </si>
  <si>
    <t xml:space="preserve">PASSIF (Md FCFA)</t>
  </si>
  <si>
    <t xml:space="preserve">Emprunts interbancaires &amp; ressources marché</t>
  </si>
  <si>
    <t xml:space="preserve">Provisions diverses</t>
  </si>
  <si>
    <t xml:space="preserve">Capital social</t>
  </si>
  <si>
    <t xml:space="preserve">Réserves (résultats accumulés)</t>
  </si>
  <si>
    <t xml:space="preserve">Résultat de l'exercice</t>
  </si>
  <si>
    <t xml:space="preserve">Total capitaux propres</t>
  </si>
  <si>
    <t xml:space="preserve">TOTAL PASSIF</t>
  </si>
  <si>
    <t xml:space="preserve">CONTRÔLE ÉQUILIBRE</t>
  </si>
  <si>
    <t xml:space="preserve">Écart actif - passif (doit être ~ 0)</t>
  </si>
  <si>
    <t xml:space="preserve">RATIOS PRUDENTIELS — BÂLE III</t>
  </si>
  <si>
    <t xml:space="preserve">1. ACTIFS PONDÉRÉS DES RISQUES (RWA)</t>
  </si>
  <si>
    <t xml:space="preserve">RWA crédits particuliers</t>
  </si>
  <si>
    <t xml:space="preserve">RWA crédits PME</t>
  </si>
  <si>
    <t xml:space="preserve">RWA crédits corporates</t>
  </si>
  <si>
    <t xml:space="preserve">RWA autres actifs</t>
  </si>
  <si>
    <t xml:space="preserve">Total RWA</t>
  </si>
  <si>
    <t xml:space="preserve">2. FONDS PROPRES RÉGLEMENTAIRES</t>
  </si>
  <si>
    <t xml:space="preserve">Capitaux propres (CET1)</t>
  </si>
  <si>
    <t xml:space="preserve">Fonds propres totaux</t>
  </si>
  <si>
    <t xml:space="preserve">3. RATIOS DE SOLVABILITÉ</t>
  </si>
  <si>
    <t xml:space="preserve">Ratio CET1</t>
  </si>
  <si>
    <t xml:space="preserve">Seuil minimum CET1</t>
  </si>
  <si>
    <t xml:space="preserve">Ratio de solvabilité globale (CAR)</t>
  </si>
  <si>
    <t xml:space="preserve">Seuil minimum CAR (UEMOA)</t>
  </si>
  <si>
    <t xml:space="preserve">4. RATIO DE LEVIER</t>
  </si>
  <si>
    <t xml:space="preserve">Ratio de levier (FP/Actif total)</t>
  </si>
  <si>
    <t xml:space="preserve">Seuil minimum levier</t>
  </si>
  <si>
    <t xml:space="preserve">5. RATIOS DE LIQUIDITÉ</t>
  </si>
  <si>
    <t xml:space="preserve">LCR (HQLA/Sorties nettes 30j)</t>
  </si>
  <si>
    <t xml:space="preserve">NSFR (ressources stables/besoins stables)</t>
  </si>
  <si>
    <t xml:space="preserve">Ratio crédits/dépôts</t>
  </si>
  <si>
    <t xml:space="preserve">TABLEAU DE BORD — INDICATEURS CLÉS</t>
  </si>
  <si>
    <t xml:space="preserve">1. PERFORMANCE FINANCIÈRE</t>
  </si>
  <si>
    <t xml:space="preserve">PNB (Md FCFA)</t>
  </si>
  <si>
    <t xml:space="preserve">RBE (Md FCFA)</t>
  </si>
  <si>
    <t xml:space="preserve">Résultat net (Md FCFA)</t>
  </si>
  <si>
    <t xml:space="preserve">Croissance RN (%)</t>
  </si>
  <si>
    <t xml:space="preserve">2. RENTABILITÉ</t>
  </si>
  <si>
    <t xml:space="preserve">ROE (RN / FP moyens)</t>
  </si>
  <si>
    <t xml:space="preserve">ROA (RN / Actif moyen)</t>
  </si>
  <si>
    <t xml:space="preserve">NIM (MNI / Encours crédits)</t>
  </si>
  <si>
    <t xml:space="preserve">3. EFFICACITÉ</t>
  </si>
  <si>
    <t xml:space="preserve">PNB par agence (Md FCFA)</t>
  </si>
  <si>
    <t xml:space="preserve">4. RISQUE</t>
  </si>
  <si>
    <t xml:space="preserve">Taux de NPL</t>
  </si>
  <si>
    <t xml:space="preserve">Taux de couverture (Prov/NPL)</t>
  </si>
  <si>
    <t xml:space="preserve">Coût risque / encours (bps)</t>
  </si>
  <si>
    <t xml:space="preserve">5. SOLVABILITÉ</t>
  </si>
  <si>
    <t xml:space="preserve">Ratio CAR</t>
  </si>
  <si>
    <t xml:space="preserve">6. CROISSANCE ACTIVITÉ</t>
  </si>
  <si>
    <t xml:space="preserve">Croissance encours crédits</t>
  </si>
  <si>
    <t xml:space="preserve">Croissance dépôts</t>
  </si>
  <si>
    <t xml:space="preserve">STRESS TESTS PRUDENTIELS</t>
  </si>
  <si>
    <t xml:space="preserve">RÉFÉRENCE — SCÉNARIO DE BASE</t>
  </si>
  <si>
    <t xml:space="preserve">PNB de base (Md FCFA)</t>
  </si>
  <si>
    <t xml:space="preserve">Résultat net de base (Md FCFA)</t>
  </si>
  <si>
    <t xml:space="preserve">CET1 de base</t>
  </si>
  <si>
    <t xml:space="preserve">STRESS 1 — RÉCESSION (PNB -15%, coût risque +50%)</t>
  </si>
  <si>
    <t xml:space="preserve">PNB stressé</t>
  </si>
  <si>
    <t xml:space="preserve">Coût risque stressé</t>
  </si>
  <si>
    <t xml:space="preserve">Résultat net stressé</t>
  </si>
  <si>
    <t xml:space="preserve">Variation RN vs base (%)</t>
  </si>
  <si>
    <t xml:space="preserve">STRESS 2 — CHOC LIQUIDITÉ (fuite 20% DAV)</t>
  </si>
  <si>
    <t xml:space="preserve">DAV stressés (-20%)</t>
  </si>
  <si>
    <t xml:space="preserve">Besoin liquidité supplémentaire</t>
  </si>
  <si>
    <t xml:space="preserve">LCR stressé</t>
  </si>
  <si>
    <t xml:space="preserve">STRESS 3 — HAUSSE TAUX (+200 bps non répercutée)</t>
  </si>
  <si>
    <t xml:space="preserve">Charge supplémentaire (+2% sur DAT)</t>
  </si>
  <si>
    <t xml:space="preserve">MNI stressée</t>
  </si>
  <si>
    <t xml:space="preserve">Variation PNB vs base (%)</t>
  </si>
  <si>
    <t xml:space="preserve">TABLEAU DES FLUX DE TRÉSORERIE</t>
  </si>
  <si>
    <t xml:space="preserve">FLUX DES ACTIVITÉS D'EXPLOITATION</t>
  </si>
  <si>
    <t xml:space="preserve">Résultat net</t>
  </si>
  <si>
    <t xml:space="preserve">+ Dotations aux provisions</t>
  </si>
  <si>
    <t xml:space="preserve">- Variation crédits clientèle</t>
  </si>
  <si>
    <t xml:space="preserve">+ Variation dépôts clientèle</t>
  </si>
  <si>
    <t xml:space="preserve">Flux net exploitation</t>
  </si>
  <si>
    <t xml:space="preserve">FLUX D'INVESTISSEMENT</t>
  </si>
  <si>
    <t xml:space="preserve">Investissements (CAPEX)</t>
  </si>
  <si>
    <t xml:space="preserve">Variation portefeuille titres</t>
  </si>
  <si>
    <t xml:space="preserve">Flux net investissement</t>
  </si>
  <si>
    <t xml:space="preserve">FLUX DE FINANCEMENT</t>
  </si>
  <si>
    <t xml:space="preserve">Variation capital social</t>
  </si>
  <si>
    <t xml:space="preserve">Dividendes versés</t>
  </si>
  <si>
    <t xml:space="preserve">Flux net financement</t>
  </si>
  <si>
    <t xml:space="preserve">VARIATION DE TRÉSORERIE</t>
  </si>
  <si>
    <t xml:space="preserve">Variation totale de trésorerie</t>
  </si>
  <si>
    <t xml:space="preserve">VUE COMPARÉE — SCÉNARIOS PESSIMISTE / BASE / OPTIMISTE</t>
  </si>
  <si>
    <t xml:space="preserve">Note : Vue synthétique. Les scénarios pessimiste et optimiste sont des sensibilités appliquées au scénario de base (Y5).</t>
  </si>
  <si>
    <t xml:space="preserve">KPI</t>
  </si>
  <si>
    <t xml:space="preserve">Pessimiste (Y5)</t>
  </si>
  <si>
    <t xml:space="preserve">Base (Y5)</t>
  </si>
  <si>
    <t xml:space="preserve">Optimiste (Y5)</t>
  </si>
  <si>
    <t xml:space="preserve">Sensibilité</t>
  </si>
  <si>
    <t xml:space="preserve">PNB Y5 (Md FCFA)</t>
  </si>
  <si>
    <t xml:space="preserve">±15%</t>
  </si>
  <si>
    <t xml:space="preserve">Résultat net Y5 (Md FCFA)</t>
  </si>
  <si>
    <t xml:space="preserve">±30-40%</t>
  </si>
  <si>
    <t xml:space="preserve">ROE Y5</t>
  </si>
  <si>
    <t xml:space="preserve">±40%</t>
  </si>
  <si>
    <t xml:space="preserve">CET1 Y5</t>
  </si>
  <si>
    <t xml:space="preserve">±10-15%</t>
  </si>
  <si>
    <t xml:space="preserve">Coût risque Y5 (Md FCFA)</t>
  </si>
  <si>
    <t xml:space="preserve">±30-50%</t>
  </si>
  <si>
    <t xml:space="preserve">MÉTHODOLOGIE DES SENSIBILITÉS</t>
  </si>
  <si>
    <t xml:space="preserve">Pessimiste : récession en zone, PNB -15%, coût risque +50%, croissance des dépôts ralentie, marges sous pression.</t>
  </si>
  <si>
    <t xml:space="preserve">Optimiste : croissance économique soutenue, PNB +15%, coût risque -30%, gains de productivité IT, expansion réseau accélérée.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</si>
</sst>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#,##0.0_);\(#,##0.0\);\-_)"/>
    <numFmt numFmtId="168" formatCode="0.00%;\(0.00%\);\-"/>
    <numFmt numFmtId="169" formatCode="#,##0&quot; bps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0A254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A254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C9A961"/>
        <bgColor rgb="FFBFBFBF"/>
      </patternFill>
    </fill>
    <fill>
      <patternFill patternType="solid">
        <fgColor rgb="FFFFFFCC"/>
        <bgColor rgb="FFFFFFFF"/>
      </patternFill>
    </fill>
    <fill>
      <patternFill patternType="solid">
        <fgColor rgb="FFD6E0E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0A2540"/>
      </top>
      <bottom style="medium">
        <color rgb="FF0A254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961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A6" s="4" t="s">
        <v>3</v>
      </c>
      <c r="B6" s="4"/>
      <c r="C6" s="4"/>
    </row>
    <row r="7" customFormat="false" ht="42" hidden="false" customHeight="true" outlineLevel="0" collapsed="false">
      <c r="B7" s="5" t="s">
        <v>4</v>
      </c>
      <c r="C7" s="6" t="s">
        <v>5</v>
      </c>
    </row>
    <row r="8" customFormat="false" ht="42" hidden="false" customHeight="true" outlineLevel="0" collapsed="false">
      <c r="B8" s="5" t="s">
        <v>6</v>
      </c>
      <c r="C8" s="6" t="s">
        <v>7</v>
      </c>
    </row>
    <row r="9" customFormat="false" ht="42" hidden="false" customHeight="true" outlineLevel="0" collapsed="false">
      <c r="B9" s="5" t="s">
        <v>8</v>
      </c>
      <c r="C9" s="6" t="s">
        <v>9</v>
      </c>
    </row>
    <row r="11" customFormat="false" ht="21.75" hidden="false" customHeight="true" outlineLevel="0" collapsed="false">
      <c r="A11" s="4" t="s">
        <v>10</v>
      </c>
      <c r="B11" s="4"/>
      <c r="C11" s="4"/>
    </row>
    <row r="12" customFormat="false" ht="15" hidden="false" customHeight="false" outlineLevel="0" collapsed="false">
      <c r="B12" s="5" t="s">
        <v>11</v>
      </c>
      <c r="C12" s="7" t="s">
        <v>12</v>
      </c>
    </row>
    <row r="13" customFormat="false" ht="15" hidden="false" customHeight="false" outlineLevel="0" collapsed="false">
      <c r="B13" s="5" t="s">
        <v>13</v>
      </c>
      <c r="C13" s="7" t="s">
        <v>14</v>
      </c>
    </row>
    <row r="14" customFormat="false" ht="15" hidden="false" customHeight="false" outlineLevel="0" collapsed="false">
      <c r="B14" s="5" t="s">
        <v>15</v>
      </c>
      <c r="C14" s="7" t="s">
        <v>16</v>
      </c>
    </row>
    <row r="15" customFormat="false" ht="15" hidden="false" customHeight="false" outlineLevel="0" collapsed="false">
      <c r="B15" s="5" t="s">
        <v>17</v>
      </c>
      <c r="C15" s="7" t="s">
        <v>18</v>
      </c>
    </row>
    <row r="16" customFormat="false" ht="15" hidden="false" customHeight="false" outlineLevel="0" collapsed="false">
      <c r="B16" s="5" t="s">
        <v>19</v>
      </c>
      <c r="C16" s="7" t="s">
        <v>20</v>
      </c>
    </row>
    <row r="17" customFormat="false" ht="15" hidden="false" customHeight="false" outlineLevel="0" collapsed="false">
      <c r="B17" s="5" t="s">
        <v>21</v>
      </c>
      <c r="C17" s="7" t="s">
        <v>22</v>
      </c>
    </row>
    <row r="18" customFormat="false" ht="15" hidden="false" customHeight="false" outlineLevel="0" collapsed="false">
      <c r="B18" s="5" t="s">
        <v>23</v>
      </c>
      <c r="C18" s="7" t="s">
        <v>24</v>
      </c>
    </row>
    <row r="19" customFormat="false" ht="15" hidden="false" customHeight="false" outlineLevel="0" collapsed="false">
      <c r="B19" s="5" t="s">
        <v>25</v>
      </c>
      <c r="C19" s="7" t="s">
        <v>26</v>
      </c>
    </row>
    <row r="20" customFormat="false" ht="15" hidden="false" customHeight="false" outlineLevel="0" collapsed="false">
      <c r="B20" s="5" t="s">
        <v>27</v>
      </c>
      <c r="C20" s="7" t="s">
        <v>28</v>
      </c>
    </row>
    <row r="21" customFormat="false" ht="15" hidden="false" customHeight="false" outlineLevel="0" collapsed="false">
      <c r="B21" s="5" t="s">
        <v>29</v>
      </c>
      <c r="C21" s="7" t="s">
        <v>30</v>
      </c>
    </row>
    <row r="22" customFormat="false" ht="15" hidden="false" customHeight="false" outlineLevel="0" collapsed="false">
      <c r="B22" s="5" t="s">
        <v>31</v>
      </c>
      <c r="C22" s="7" t="s">
        <v>32</v>
      </c>
    </row>
    <row r="23" customFormat="false" ht="15" hidden="false" customHeight="false" outlineLevel="0" collapsed="false">
      <c r="B23" s="5" t="s">
        <v>33</v>
      </c>
      <c r="C23" s="7" t="s">
        <v>34</v>
      </c>
    </row>
    <row r="24" customFormat="false" ht="15" hidden="false" customHeight="false" outlineLevel="0" collapsed="false">
      <c r="B24" s="5" t="s">
        <v>35</v>
      </c>
      <c r="C24" s="7" t="s">
        <v>36</v>
      </c>
    </row>
    <row r="25" customFormat="false" ht="15" hidden="false" customHeight="false" outlineLevel="0" collapsed="false">
      <c r="B25" s="5" t="s">
        <v>37</v>
      </c>
      <c r="C25" s="7" t="s">
        <v>38</v>
      </c>
    </row>
    <row r="27" customFormat="false" ht="21.75" hidden="false" customHeight="true" outlineLevel="0" collapsed="false">
      <c r="A27" s="4" t="s">
        <v>39</v>
      </c>
      <c r="B27" s="4"/>
      <c r="C27" s="4"/>
    </row>
    <row r="28" customFormat="false" ht="15" hidden="false" customHeight="false" outlineLevel="0" collapsed="false">
      <c r="B28" s="5" t="s">
        <v>40</v>
      </c>
      <c r="C28" s="7" t="s">
        <v>41</v>
      </c>
    </row>
    <row r="29" customFormat="false" ht="15" hidden="false" customHeight="false" outlineLevel="0" collapsed="false">
      <c r="B29" s="5" t="s">
        <v>42</v>
      </c>
      <c r="C29" s="7" t="s">
        <v>43</v>
      </c>
    </row>
    <row r="30" customFormat="false" ht="15" hidden="false" customHeight="false" outlineLevel="0" collapsed="false">
      <c r="B30" s="5" t="s">
        <v>44</v>
      </c>
      <c r="C30" s="7" t="s">
        <v>45</v>
      </c>
    </row>
    <row r="31" customFormat="false" ht="15" hidden="false" customHeight="false" outlineLevel="0" collapsed="false">
      <c r="B31" s="5" t="s">
        <v>46</v>
      </c>
      <c r="C31" s="7" t="s">
        <v>47</v>
      </c>
    </row>
    <row r="32" customFormat="false" ht="15" hidden="false" customHeight="false" outlineLevel="0" collapsed="false">
      <c r="B32" s="5" t="s">
        <v>48</v>
      </c>
      <c r="C32" s="7" t="s">
        <v>49</v>
      </c>
    </row>
    <row r="33" customFormat="false" ht="15" hidden="false" customHeight="false" outlineLevel="0" collapsed="false">
      <c r="B33" s="5" t="s">
        <v>50</v>
      </c>
      <c r="C33" s="7" t="s">
        <v>51</v>
      </c>
    </row>
  </sheetData>
  <mergeCells count="4">
    <mergeCell ref="A1:C1"/>
    <mergeCell ref="A6:C6"/>
    <mergeCell ref="A11:C11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58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59</v>
      </c>
      <c r="B5" s="11" t="n">
        <v>0.03</v>
      </c>
      <c r="C5" s="11" t="n">
        <v>0.025</v>
      </c>
      <c r="D5" s="11" t="n">
        <v>0.025</v>
      </c>
      <c r="E5" s="11" t="n">
        <v>0.025</v>
      </c>
      <c r="F5" s="11" t="n">
        <v>0.025</v>
      </c>
      <c r="H5" s="3" t="s">
        <v>60</v>
      </c>
    </row>
    <row r="6" customFormat="false" ht="15" hidden="false" customHeight="false" outlineLevel="0" collapsed="false">
      <c r="A6" s="10" t="s">
        <v>61</v>
      </c>
      <c r="B6" s="11" t="n">
        <v>0.055</v>
      </c>
      <c r="C6" s="11" t="n">
        <v>0.055</v>
      </c>
      <c r="D6" s="11" t="n">
        <v>0.05</v>
      </c>
      <c r="E6" s="11" t="n">
        <v>0.05</v>
      </c>
      <c r="F6" s="11" t="n">
        <v>0.05</v>
      </c>
      <c r="H6" s="3"/>
    </row>
    <row r="7" customFormat="false" ht="15" hidden="false" customHeight="false" outlineLevel="0" collapsed="false">
      <c r="A7" s="10" t="s">
        <v>62</v>
      </c>
      <c r="B7" s="11" t="n">
        <v>0.06</v>
      </c>
      <c r="C7" s="11" t="n">
        <v>0.062</v>
      </c>
      <c r="D7" s="11" t="n">
        <v>0.063</v>
      </c>
      <c r="E7" s="11" t="n">
        <v>0.065</v>
      </c>
      <c r="F7" s="11" t="n">
        <v>0.067</v>
      </c>
      <c r="H7" s="3"/>
    </row>
    <row r="8" customFormat="false" ht="15" hidden="false" customHeight="false" outlineLevel="0" collapsed="false">
      <c r="A8" s="10" t="s">
        <v>63</v>
      </c>
      <c r="B8" s="11" t="n">
        <v>0.3</v>
      </c>
      <c r="C8" s="11" t="n">
        <v>0.3</v>
      </c>
      <c r="D8" s="11" t="n">
        <v>0.3</v>
      </c>
      <c r="E8" s="11" t="n">
        <v>0.3</v>
      </c>
      <c r="F8" s="11" t="n">
        <v>0.3</v>
      </c>
      <c r="H8" s="3" t="s">
        <v>64</v>
      </c>
    </row>
    <row r="9" customFormat="false" ht="15" hidden="false" customHeight="false" outlineLevel="0" collapsed="false">
      <c r="A9" s="10" t="s">
        <v>65</v>
      </c>
      <c r="B9" s="11" t="n">
        <v>0.1</v>
      </c>
      <c r="C9" s="11" t="n">
        <v>0.1</v>
      </c>
      <c r="D9" s="11" t="n">
        <v>0.1</v>
      </c>
      <c r="E9" s="11" t="n">
        <v>0.1</v>
      </c>
      <c r="F9" s="11" t="n">
        <v>0.1</v>
      </c>
      <c r="H9" s="3"/>
    </row>
    <row r="10" customFormat="false" ht="15" hidden="false" customHeight="false" outlineLevel="0" collapsed="false">
      <c r="A10" s="10" t="s">
        <v>66</v>
      </c>
      <c r="B10" s="11" t="n">
        <v>0.18</v>
      </c>
      <c r="C10" s="11" t="n">
        <v>0.18</v>
      </c>
      <c r="D10" s="11" t="n">
        <v>0.18</v>
      </c>
      <c r="E10" s="11" t="n">
        <v>0.18</v>
      </c>
      <c r="F10" s="11" t="n">
        <v>0.18</v>
      </c>
      <c r="H10" s="3"/>
    </row>
    <row r="12" customFormat="false" ht="21.75" hidden="false" customHeight="true" outlineLevel="0" collapsed="false">
      <c r="A12" s="4" t="s">
        <v>67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10" t="s">
        <v>68</v>
      </c>
      <c r="B13" s="12" t="n">
        <v>25</v>
      </c>
      <c r="C13" s="12" t="n">
        <v>28</v>
      </c>
      <c r="D13" s="12" t="n">
        <v>32</v>
      </c>
      <c r="E13" s="12" t="n">
        <v>35</v>
      </c>
      <c r="F13" s="12" t="n">
        <v>38</v>
      </c>
      <c r="H13" s="3"/>
    </row>
    <row r="14" customFormat="false" ht="15" hidden="false" customHeight="false" outlineLevel="0" collapsed="false">
      <c r="A14" s="10" t="s">
        <v>69</v>
      </c>
      <c r="B14" s="12" t="n">
        <v>80</v>
      </c>
      <c r="C14" s="12" t="n">
        <v>92</v>
      </c>
      <c r="D14" s="12" t="n">
        <v>105</v>
      </c>
      <c r="E14" s="12" t="n">
        <v>118</v>
      </c>
      <c r="F14" s="12" t="n">
        <v>132</v>
      </c>
      <c r="H14" s="3" t="s">
        <v>70</v>
      </c>
    </row>
    <row r="15" customFormat="false" ht="15" hidden="false" customHeight="false" outlineLevel="0" collapsed="false">
      <c r="A15" s="10" t="s">
        <v>71</v>
      </c>
      <c r="H15" s="3" t="s">
        <v>72</v>
      </c>
    </row>
    <row r="16" customFormat="false" ht="15" hidden="false" customHeight="false" outlineLevel="0" collapsed="false">
      <c r="A16" s="10" t="s">
        <v>73</v>
      </c>
      <c r="B16" s="12" t="n">
        <v>1500</v>
      </c>
      <c r="C16" s="12" t="n">
        <v>1650</v>
      </c>
      <c r="D16" s="12" t="n">
        <v>1800</v>
      </c>
      <c r="E16" s="12" t="n">
        <v>1950</v>
      </c>
      <c r="F16" s="12" t="n">
        <v>2100</v>
      </c>
      <c r="H16" s="3"/>
    </row>
    <row r="17" customFormat="false" ht="15" hidden="false" customHeight="false" outlineLevel="0" collapsed="false">
      <c r="A17" s="10" t="s">
        <v>74</v>
      </c>
      <c r="B17" s="12" t="n">
        <v>120</v>
      </c>
      <c r="C17" s="12" t="n">
        <v>130</v>
      </c>
      <c r="D17" s="12" t="n">
        <v>140</v>
      </c>
      <c r="E17" s="12" t="n">
        <v>150</v>
      </c>
      <c r="F17" s="12" t="n">
        <v>160</v>
      </c>
      <c r="H17" s="3"/>
    </row>
    <row r="18" customFormat="false" ht="15" hidden="false" customHeight="false" outlineLevel="0" collapsed="false">
      <c r="A18" s="10" t="s">
        <v>75</v>
      </c>
      <c r="B18" s="12" t="n">
        <v>350</v>
      </c>
      <c r="C18" s="12" t="n">
        <v>380</v>
      </c>
      <c r="D18" s="12" t="n">
        <v>410</v>
      </c>
      <c r="E18" s="12" t="n">
        <v>440</v>
      </c>
      <c r="F18" s="12" t="n">
        <v>470</v>
      </c>
      <c r="H18" s="3"/>
    </row>
    <row r="19" customFormat="false" ht="15" hidden="false" customHeight="false" outlineLevel="0" collapsed="false">
      <c r="A19" s="10" t="s">
        <v>76</v>
      </c>
      <c r="B19" s="13" t="n">
        <v>6.5</v>
      </c>
      <c r="C19" s="13" t="n">
        <v>6.8</v>
      </c>
      <c r="D19" s="13" t="n">
        <v>7.1</v>
      </c>
      <c r="E19" s="13" t="n">
        <v>7.4</v>
      </c>
      <c r="F19" s="13" t="n">
        <v>7.7</v>
      </c>
      <c r="H19" s="3"/>
    </row>
    <row r="21" customFormat="false" ht="21.75" hidden="false" customHeight="true" outlineLevel="0" collapsed="false">
      <c r="A21" s="4" t="s">
        <v>77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0" t="s">
        <v>78</v>
      </c>
      <c r="B22" s="13" t="n">
        <v>85</v>
      </c>
      <c r="C22" s="13" t="n">
        <v>102</v>
      </c>
      <c r="D22" s="13" t="n">
        <v>122</v>
      </c>
      <c r="E22" s="13" t="n">
        <v>144</v>
      </c>
      <c r="F22" s="13" t="n">
        <v>168</v>
      </c>
      <c r="H22" s="3"/>
    </row>
    <row r="23" customFormat="false" ht="15" hidden="false" customHeight="false" outlineLevel="0" collapsed="false">
      <c r="A23" s="10" t="s">
        <v>79</v>
      </c>
      <c r="B23" s="13" t="n">
        <v>120</v>
      </c>
      <c r="C23" s="13" t="n">
        <v>144</v>
      </c>
      <c r="D23" s="13" t="n">
        <v>170</v>
      </c>
      <c r="E23" s="13" t="n">
        <v>198</v>
      </c>
      <c r="F23" s="13" t="n">
        <v>228</v>
      </c>
      <c r="H23" s="3"/>
    </row>
    <row r="24" customFormat="false" ht="15" hidden="false" customHeight="false" outlineLevel="0" collapsed="false">
      <c r="A24" s="10" t="s">
        <v>80</v>
      </c>
      <c r="B24" s="13" t="n">
        <v>180</v>
      </c>
      <c r="C24" s="13" t="n">
        <v>198</v>
      </c>
      <c r="D24" s="13" t="n">
        <v>217</v>
      </c>
      <c r="E24" s="13" t="n">
        <v>238</v>
      </c>
      <c r="F24" s="13" t="n">
        <v>261</v>
      </c>
      <c r="H24" s="3"/>
    </row>
    <row r="25" customFormat="false" ht="15" hidden="false" customHeight="false" outlineLevel="0" collapsed="false">
      <c r="A25" s="10" t="s">
        <v>81</v>
      </c>
      <c r="B25" s="13" t="n">
        <v>25</v>
      </c>
      <c r="C25" s="13" t="n">
        <v>30</v>
      </c>
      <c r="D25" s="13" t="n">
        <v>36</v>
      </c>
      <c r="E25" s="13" t="n">
        <v>42</v>
      </c>
      <c r="F25" s="13" t="n">
        <v>48</v>
      </c>
      <c r="H25" s="3"/>
    </row>
    <row r="27" customFormat="false" ht="15" hidden="false" customHeight="false" outlineLevel="0" collapsed="false">
      <c r="A27" s="14" t="s">
        <v>82</v>
      </c>
      <c r="B27" s="15" t="n">
        <f aca="false">SUM(B22:B25)</f>
        <v>410</v>
      </c>
      <c r="C27" s="15" t="n">
        <f aca="false">SUM(C22:C25)</f>
        <v>474</v>
      </c>
      <c r="D27" s="15" t="n">
        <f aca="false">SUM(D22:D25)</f>
        <v>545</v>
      </c>
      <c r="E27" s="15" t="n">
        <f aca="false">SUM(E22:E25)</f>
        <v>622</v>
      </c>
      <c r="F27" s="15" t="n">
        <f aca="false">SUM(F22:F25)</f>
        <v>705</v>
      </c>
    </row>
    <row r="29" customFormat="false" ht="21.75" hidden="false" customHeight="true" outlineLevel="0" collapsed="false">
      <c r="A29" s="4" t="s">
        <v>83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10" t="s">
        <v>84</v>
      </c>
      <c r="B30" s="11" t="n">
        <v>0.135</v>
      </c>
      <c r="C30" s="11" t="n">
        <v>0.135</v>
      </c>
      <c r="D30" s="11" t="n">
        <v>0.13</v>
      </c>
      <c r="E30" s="11" t="n">
        <v>0.13</v>
      </c>
      <c r="F30" s="11" t="n">
        <v>0.125</v>
      </c>
      <c r="H30" s="3"/>
    </row>
    <row r="31" customFormat="false" ht="15" hidden="false" customHeight="false" outlineLevel="0" collapsed="false">
      <c r="A31" s="10" t="s">
        <v>85</v>
      </c>
      <c r="B31" s="11" t="n">
        <v>0.115</v>
      </c>
      <c r="C31" s="11" t="n">
        <v>0.115</v>
      </c>
      <c r="D31" s="11" t="n">
        <v>0.11</v>
      </c>
      <c r="E31" s="11" t="n">
        <v>0.11</v>
      </c>
      <c r="F31" s="11" t="n">
        <v>0.105</v>
      </c>
      <c r="H31" s="3"/>
    </row>
    <row r="32" customFormat="false" ht="15" hidden="false" customHeight="false" outlineLevel="0" collapsed="false">
      <c r="A32" s="10" t="s">
        <v>86</v>
      </c>
      <c r="B32" s="11" t="n">
        <v>0.085</v>
      </c>
      <c r="C32" s="11" t="n">
        <v>0.085</v>
      </c>
      <c r="D32" s="11" t="n">
        <v>0.08</v>
      </c>
      <c r="E32" s="11" t="n">
        <v>0.08</v>
      </c>
      <c r="F32" s="11" t="n">
        <v>0.075</v>
      </c>
      <c r="H32" s="3"/>
    </row>
    <row r="33" customFormat="false" ht="15" hidden="false" customHeight="false" outlineLevel="0" collapsed="false">
      <c r="A33" s="10" t="s">
        <v>87</v>
      </c>
      <c r="B33" s="11" t="n">
        <v>0.105</v>
      </c>
      <c r="C33" s="11" t="n">
        <v>0.105</v>
      </c>
      <c r="D33" s="11" t="n">
        <v>0.1</v>
      </c>
      <c r="E33" s="11" t="n">
        <v>0.1</v>
      </c>
      <c r="F33" s="11" t="n">
        <v>0.095</v>
      </c>
      <c r="H33" s="3"/>
    </row>
    <row r="35" customFormat="false" ht="21.75" hidden="false" customHeight="true" outlineLevel="0" collapsed="false">
      <c r="A35" s="4" t="s">
        <v>88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10" t="s">
        <v>89</v>
      </c>
      <c r="B36" s="13" t="n">
        <v>180</v>
      </c>
      <c r="C36" s="13" t="n">
        <v>207</v>
      </c>
      <c r="D36" s="13" t="n">
        <v>238</v>
      </c>
      <c r="E36" s="13" t="n">
        <v>274</v>
      </c>
      <c r="F36" s="13" t="n">
        <v>314</v>
      </c>
      <c r="H36" s="3" t="s">
        <v>90</v>
      </c>
    </row>
    <row r="37" customFormat="false" ht="15" hidden="false" customHeight="false" outlineLevel="0" collapsed="false">
      <c r="A37" s="10" t="s">
        <v>91</v>
      </c>
      <c r="B37" s="13" t="n">
        <v>85</v>
      </c>
      <c r="C37" s="13" t="n">
        <v>95</v>
      </c>
      <c r="D37" s="13" t="n">
        <v>106</v>
      </c>
      <c r="E37" s="13" t="n">
        <v>119</v>
      </c>
      <c r="F37" s="13" t="n">
        <v>133</v>
      </c>
      <c r="H37" s="3"/>
    </row>
    <row r="38" customFormat="false" ht="15" hidden="false" customHeight="false" outlineLevel="0" collapsed="false">
      <c r="A38" s="10" t="s">
        <v>92</v>
      </c>
      <c r="B38" s="13" t="n">
        <v>110</v>
      </c>
      <c r="C38" s="13" t="n">
        <v>122</v>
      </c>
      <c r="D38" s="13" t="n">
        <v>134</v>
      </c>
      <c r="E38" s="13" t="n">
        <v>147</v>
      </c>
      <c r="F38" s="13" t="n">
        <v>162</v>
      </c>
      <c r="H38" s="3"/>
    </row>
    <row r="39" customFormat="false" ht="15" hidden="false" customHeight="false" outlineLevel="0" collapsed="false">
      <c r="A39" s="10" t="s">
        <v>93</v>
      </c>
      <c r="B39" s="13" t="n">
        <v>35</v>
      </c>
      <c r="C39" s="13" t="n">
        <v>38</v>
      </c>
      <c r="D39" s="13" t="n">
        <v>41</v>
      </c>
      <c r="E39" s="13" t="n">
        <v>45</v>
      </c>
      <c r="F39" s="13" t="n">
        <v>49</v>
      </c>
      <c r="H39" s="3"/>
    </row>
    <row r="41" customFormat="false" ht="15" hidden="false" customHeight="false" outlineLevel="0" collapsed="false">
      <c r="A41" s="14" t="s">
        <v>94</v>
      </c>
      <c r="B41" s="15" t="n">
        <f aca="false">SUM(B36:B39)</f>
        <v>410</v>
      </c>
      <c r="C41" s="15" t="n">
        <f aca="false">SUM(C36:C39)</f>
        <v>462</v>
      </c>
      <c r="D41" s="15" t="n">
        <f aca="false">SUM(D36:D39)</f>
        <v>519</v>
      </c>
      <c r="E41" s="15" t="n">
        <f aca="false">SUM(E36:E39)</f>
        <v>585</v>
      </c>
      <c r="F41" s="15" t="n">
        <f aca="false">SUM(F36:F39)</f>
        <v>658</v>
      </c>
    </row>
    <row r="43" customFormat="false" ht="21.75" hidden="false" customHeight="true" outlineLevel="0" collapsed="false">
      <c r="A43" s="4" t="s">
        <v>95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10" t="s">
        <v>96</v>
      </c>
      <c r="B44" s="16" t="n">
        <v>0.002</v>
      </c>
      <c r="C44" s="16" t="n">
        <v>0.002</v>
      </c>
      <c r="D44" s="16" t="n">
        <v>0.002</v>
      </c>
      <c r="E44" s="16" t="n">
        <v>0.002</v>
      </c>
      <c r="F44" s="16" t="n">
        <v>0.002</v>
      </c>
      <c r="H44" s="3" t="s">
        <v>97</v>
      </c>
    </row>
    <row r="45" customFormat="false" ht="15" hidden="false" customHeight="false" outlineLevel="0" collapsed="false">
      <c r="A45" s="10" t="s">
        <v>98</v>
      </c>
      <c r="B45" s="16" t="n">
        <v>0.0325</v>
      </c>
      <c r="C45" s="16" t="n">
        <v>0.0325</v>
      </c>
      <c r="D45" s="16" t="n">
        <v>0.0325</v>
      </c>
      <c r="E45" s="16" t="n">
        <v>0.0325</v>
      </c>
      <c r="F45" s="16" t="n">
        <v>0.0325</v>
      </c>
      <c r="H45" s="3" t="s">
        <v>99</v>
      </c>
    </row>
    <row r="46" customFormat="false" ht="15" hidden="false" customHeight="false" outlineLevel="0" collapsed="false">
      <c r="A46" s="10" t="s">
        <v>100</v>
      </c>
      <c r="B46" s="16" t="n">
        <v>0.055</v>
      </c>
      <c r="C46" s="16" t="n">
        <v>0.055</v>
      </c>
      <c r="D46" s="16" t="n">
        <v>0.05</v>
      </c>
      <c r="E46" s="16" t="n">
        <v>0.05</v>
      </c>
      <c r="F46" s="16" t="n">
        <v>0.045</v>
      </c>
      <c r="H46" s="3"/>
    </row>
    <row r="47" customFormat="false" ht="15" hidden="false" customHeight="false" outlineLevel="0" collapsed="false">
      <c r="A47" s="10" t="s">
        <v>101</v>
      </c>
      <c r="B47" s="16" t="n">
        <v>0.045</v>
      </c>
      <c r="C47" s="16" t="n">
        <v>0.045</v>
      </c>
      <c r="D47" s="16" t="n">
        <v>0.04</v>
      </c>
      <c r="E47" s="16" t="n">
        <v>0.04</v>
      </c>
      <c r="F47" s="16" t="n">
        <v>0.035</v>
      </c>
      <c r="H47" s="3"/>
    </row>
    <row r="48" customFormat="false" ht="15" hidden="false" customHeight="false" outlineLevel="0" collapsed="false">
      <c r="A48" s="10" t="s">
        <v>102</v>
      </c>
      <c r="B48" s="11" t="n">
        <v>0.03</v>
      </c>
      <c r="C48" s="11" t="n">
        <v>0.03</v>
      </c>
      <c r="D48" s="11" t="n">
        <v>0.03</v>
      </c>
      <c r="E48" s="11" t="n">
        <v>0.03</v>
      </c>
      <c r="F48" s="11" t="n">
        <v>0.03</v>
      </c>
      <c r="H48" s="3" t="s">
        <v>103</v>
      </c>
    </row>
    <row r="50" customFormat="false" ht="21.75" hidden="false" customHeight="true" outlineLevel="0" collapsed="false">
      <c r="A50" s="4" t="s">
        <v>104</v>
      </c>
      <c r="B50" s="4"/>
      <c r="C50" s="4"/>
      <c r="D50" s="4"/>
      <c r="E50" s="4"/>
      <c r="F50" s="4"/>
      <c r="G50" s="4"/>
      <c r="H50" s="4"/>
    </row>
    <row r="51" customFormat="false" ht="15" hidden="false" customHeight="false" outlineLevel="0" collapsed="false">
      <c r="A51" s="10" t="s">
        <v>105</v>
      </c>
      <c r="B51" s="13" t="n">
        <v>4.2</v>
      </c>
      <c r="C51" s="13" t="n">
        <v>4.8</v>
      </c>
      <c r="D51" s="13" t="n">
        <v>5.4</v>
      </c>
      <c r="E51" s="13" t="n">
        <v>6.1</v>
      </c>
      <c r="F51" s="13" t="n">
        <v>6.8</v>
      </c>
      <c r="H51" s="3"/>
    </row>
    <row r="52" customFormat="false" ht="15" hidden="false" customHeight="false" outlineLevel="0" collapsed="false">
      <c r="A52" s="10" t="s">
        <v>106</v>
      </c>
      <c r="B52" s="13" t="n">
        <v>3.5</v>
      </c>
      <c r="C52" s="13" t="n">
        <v>4.2</v>
      </c>
      <c r="D52" s="13" t="n">
        <v>5.1</v>
      </c>
      <c r="E52" s="13" t="n">
        <v>6</v>
      </c>
      <c r="F52" s="13" t="n">
        <v>7.1</v>
      </c>
      <c r="H52" s="3"/>
    </row>
    <row r="53" customFormat="false" ht="15" hidden="false" customHeight="false" outlineLevel="0" collapsed="false">
      <c r="A53" s="10" t="s">
        <v>107</v>
      </c>
      <c r="B53" s="13" t="n">
        <v>2.8</v>
      </c>
      <c r="C53" s="13" t="n">
        <v>3.1</v>
      </c>
      <c r="D53" s="13" t="n">
        <v>3.5</v>
      </c>
      <c r="E53" s="13" t="n">
        <v>3.9</v>
      </c>
      <c r="F53" s="13" t="n">
        <v>4.3</v>
      </c>
      <c r="H53" s="3"/>
    </row>
    <row r="54" customFormat="false" ht="15" hidden="false" customHeight="false" outlineLevel="0" collapsed="false">
      <c r="A54" s="10" t="s">
        <v>108</v>
      </c>
      <c r="B54" s="13" t="n">
        <v>1.5</v>
      </c>
      <c r="C54" s="13" t="n">
        <v>1.7</v>
      </c>
      <c r="D54" s="13" t="n">
        <v>1.9</v>
      </c>
      <c r="E54" s="13" t="n">
        <v>2.1</v>
      </c>
      <c r="F54" s="13" t="n">
        <v>2.3</v>
      </c>
      <c r="H54" s="3"/>
    </row>
    <row r="55" customFormat="false" ht="15" hidden="false" customHeight="false" outlineLevel="0" collapsed="false">
      <c r="A55" s="10" t="s">
        <v>109</v>
      </c>
      <c r="B55" s="13" t="n">
        <v>1.8</v>
      </c>
      <c r="C55" s="13" t="n">
        <v>2</v>
      </c>
      <c r="D55" s="13" t="n">
        <v>2.2</v>
      </c>
      <c r="E55" s="13" t="n">
        <v>2.4</v>
      </c>
      <c r="F55" s="13" t="n">
        <v>2.6</v>
      </c>
      <c r="H55" s="3"/>
    </row>
    <row r="57" customFormat="false" ht="15" hidden="false" customHeight="false" outlineLevel="0" collapsed="false">
      <c r="A57" s="14" t="s">
        <v>110</v>
      </c>
      <c r="B57" s="15" t="n">
        <f aca="false">SUM(B51:B55)</f>
        <v>13.8</v>
      </c>
      <c r="C57" s="15" t="n">
        <f aca="false">SUM(C51:C55)</f>
        <v>15.8</v>
      </c>
      <c r="D57" s="15" t="n">
        <f aca="false">SUM(D51:D55)</f>
        <v>18.1</v>
      </c>
      <c r="E57" s="15" t="n">
        <f aca="false">SUM(E51:E55)</f>
        <v>20.5</v>
      </c>
      <c r="F57" s="15" t="n">
        <f aca="false">SUM(F51:F55)</f>
        <v>23.1</v>
      </c>
    </row>
    <row r="59" customFormat="false" ht="21.75" hidden="false" customHeight="true" outlineLevel="0" collapsed="false">
      <c r="A59" s="4" t="s">
        <v>111</v>
      </c>
      <c r="B59" s="4"/>
      <c r="C59" s="4"/>
      <c r="D59" s="4"/>
      <c r="E59" s="4"/>
      <c r="F59" s="4"/>
      <c r="G59" s="4"/>
      <c r="H59" s="4"/>
    </row>
    <row r="60" customFormat="false" ht="15" hidden="false" customHeight="false" outlineLevel="0" collapsed="false">
      <c r="A60" s="10" t="s">
        <v>112</v>
      </c>
      <c r="B60" s="13" t="n">
        <v>3.5</v>
      </c>
      <c r="C60" s="13" t="n">
        <v>3.8</v>
      </c>
      <c r="D60" s="13" t="n">
        <v>4.1</v>
      </c>
      <c r="E60" s="13" t="n">
        <v>4.4</v>
      </c>
      <c r="F60" s="13" t="n">
        <v>4.8</v>
      </c>
      <c r="H60" s="3"/>
    </row>
    <row r="61" customFormat="false" ht="15" hidden="false" customHeight="false" outlineLevel="0" collapsed="false">
      <c r="A61" s="10" t="s">
        <v>113</v>
      </c>
      <c r="B61" s="13" t="n">
        <v>2.8</v>
      </c>
      <c r="C61" s="13" t="n">
        <v>3.1</v>
      </c>
      <c r="D61" s="13" t="n">
        <v>3.4</v>
      </c>
      <c r="E61" s="13" t="n">
        <v>3.7</v>
      </c>
      <c r="F61" s="13" t="n">
        <v>4</v>
      </c>
      <c r="H61" s="3"/>
    </row>
    <row r="62" customFormat="false" ht="15" hidden="false" customHeight="false" outlineLevel="0" collapsed="false">
      <c r="A62" s="10" t="s">
        <v>114</v>
      </c>
      <c r="B62" s="13" t="n">
        <v>1.5</v>
      </c>
      <c r="C62" s="13" t="n">
        <v>1.7</v>
      </c>
      <c r="D62" s="13" t="n">
        <v>1.9</v>
      </c>
      <c r="E62" s="13" t="n">
        <v>2.1</v>
      </c>
      <c r="F62" s="13" t="n">
        <v>2.3</v>
      </c>
      <c r="H62" s="3"/>
    </row>
    <row r="63" customFormat="false" ht="15" hidden="false" customHeight="false" outlineLevel="0" collapsed="false">
      <c r="A63" s="10" t="s">
        <v>115</v>
      </c>
      <c r="B63" s="13" t="n">
        <v>1.2</v>
      </c>
      <c r="C63" s="13" t="n">
        <v>1.3</v>
      </c>
      <c r="D63" s="13" t="n">
        <v>1.4</v>
      </c>
      <c r="E63" s="13" t="n">
        <v>1.5</v>
      </c>
      <c r="F63" s="13" t="n">
        <v>1.6</v>
      </c>
      <c r="H63" s="3"/>
    </row>
    <row r="64" customFormat="false" ht="15" hidden="false" customHeight="false" outlineLevel="0" collapsed="false">
      <c r="A64" s="10" t="s">
        <v>116</v>
      </c>
      <c r="B64" s="13" t="n">
        <v>1.8</v>
      </c>
      <c r="C64" s="13" t="n">
        <v>2</v>
      </c>
      <c r="D64" s="13" t="n">
        <v>2.2</v>
      </c>
      <c r="E64" s="13" t="n">
        <v>2.4</v>
      </c>
      <c r="F64" s="13" t="n">
        <v>2.6</v>
      </c>
      <c r="H64" s="3"/>
    </row>
    <row r="65" customFormat="false" ht="15" hidden="false" customHeight="false" outlineLevel="0" collapsed="false">
      <c r="A65" s="10" t="s">
        <v>117</v>
      </c>
      <c r="B65" s="13" t="n">
        <v>1.5</v>
      </c>
      <c r="C65" s="13" t="n">
        <v>1.6</v>
      </c>
      <c r="D65" s="13" t="n">
        <v>1.7</v>
      </c>
      <c r="E65" s="13" t="n">
        <v>1.8</v>
      </c>
      <c r="F65" s="13" t="n">
        <v>1.9</v>
      </c>
      <c r="H65" s="3"/>
    </row>
    <row r="67" customFormat="false" ht="21.75" hidden="false" customHeight="true" outlineLevel="0" collapsed="false">
      <c r="A67" s="4" t="s">
        <v>118</v>
      </c>
      <c r="B67" s="4"/>
      <c r="C67" s="4"/>
      <c r="D67" s="4"/>
      <c r="E67" s="4"/>
      <c r="F67" s="4"/>
      <c r="G67" s="4"/>
      <c r="H67" s="4"/>
    </row>
    <row r="68" customFormat="false" ht="15" hidden="false" customHeight="false" outlineLevel="0" collapsed="false">
      <c r="A68" s="10" t="s">
        <v>119</v>
      </c>
      <c r="B68" s="11" t="n">
        <v>0.08</v>
      </c>
      <c r="C68" s="11" t="n">
        <v>0.075</v>
      </c>
      <c r="D68" s="11" t="n">
        <v>0.07</v>
      </c>
      <c r="E68" s="11" t="n">
        <v>0.065</v>
      </c>
      <c r="F68" s="11" t="n">
        <v>0.06</v>
      </c>
      <c r="H68" s="3"/>
    </row>
    <row r="69" customFormat="false" ht="15" hidden="false" customHeight="false" outlineLevel="0" collapsed="false">
      <c r="A69" s="10" t="s">
        <v>120</v>
      </c>
      <c r="B69" s="11" t="n">
        <v>0.11</v>
      </c>
      <c r="C69" s="11" t="n">
        <v>0.105</v>
      </c>
      <c r="D69" s="11" t="n">
        <v>0.1</v>
      </c>
      <c r="E69" s="11" t="n">
        <v>0.095</v>
      </c>
      <c r="F69" s="11" t="n">
        <v>0.09</v>
      </c>
      <c r="H69" s="3"/>
    </row>
    <row r="70" customFormat="false" ht="15" hidden="false" customHeight="false" outlineLevel="0" collapsed="false">
      <c r="A70" s="10" t="s">
        <v>121</v>
      </c>
      <c r="B70" s="11" t="n">
        <v>0.05</v>
      </c>
      <c r="C70" s="11" t="n">
        <v>0.045</v>
      </c>
      <c r="D70" s="11" t="n">
        <v>0.04</v>
      </c>
      <c r="E70" s="11" t="n">
        <v>0.035</v>
      </c>
      <c r="F70" s="11" t="n">
        <v>0.03</v>
      </c>
      <c r="H70" s="3"/>
    </row>
    <row r="71" customFormat="false" ht="15" hidden="false" customHeight="false" outlineLevel="0" collapsed="false">
      <c r="A71" s="10" t="s">
        <v>122</v>
      </c>
      <c r="B71" s="16" t="n">
        <v>0.005</v>
      </c>
      <c r="C71" s="16" t="n">
        <v>0.005</v>
      </c>
      <c r="D71" s="16" t="n">
        <v>0.005</v>
      </c>
      <c r="E71" s="16" t="n">
        <v>0.005</v>
      </c>
      <c r="F71" s="16" t="n">
        <v>0.005</v>
      </c>
      <c r="H71" s="3"/>
    </row>
    <row r="72" customFormat="false" ht="15" hidden="false" customHeight="false" outlineLevel="0" collapsed="false">
      <c r="A72" s="10" t="s">
        <v>123</v>
      </c>
      <c r="B72" s="11" t="n">
        <v>0.04</v>
      </c>
      <c r="C72" s="11" t="n">
        <v>0.04</v>
      </c>
      <c r="D72" s="11" t="n">
        <v>0.04</v>
      </c>
      <c r="E72" s="11" t="n">
        <v>0.04</v>
      </c>
      <c r="F72" s="11" t="n">
        <v>0.04</v>
      </c>
      <c r="H72" s="3"/>
    </row>
    <row r="73" customFormat="false" ht="15" hidden="false" customHeight="false" outlineLevel="0" collapsed="false">
      <c r="A73" s="10" t="s">
        <v>124</v>
      </c>
      <c r="B73" s="11" t="n">
        <v>0.5</v>
      </c>
      <c r="C73" s="11" t="n">
        <v>0.5</v>
      </c>
      <c r="D73" s="11" t="n">
        <v>0.5</v>
      </c>
      <c r="E73" s="11" t="n">
        <v>0.5</v>
      </c>
      <c r="F73" s="11" t="n">
        <v>0.5</v>
      </c>
      <c r="H73" s="3"/>
    </row>
    <row r="75" customFormat="false" ht="21.75" hidden="false" customHeight="true" outlineLevel="0" collapsed="false">
      <c r="A75" s="4" t="s">
        <v>125</v>
      </c>
      <c r="B75" s="4"/>
      <c r="C75" s="4"/>
      <c r="D75" s="4"/>
      <c r="E75" s="4"/>
      <c r="F75" s="4"/>
      <c r="G75" s="4"/>
      <c r="H75" s="4"/>
    </row>
    <row r="76" customFormat="false" ht="15" hidden="false" customHeight="false" outlineLevel="0" collapsed="false">
      <c r="A76" s="10" t="s">
        <v>126</v>
      </c>
      <c r="B76" s="13" t="n">
        <v>50</v>
      </c>
      <c r="C76" s="13" t="n">
        <v>50</v>
      </c>
      <c r="D76" s="13" t="n">
        <v>50</v>
      </c>
      <c r="E76" s="13" t="n">
        <v>60</v>
      </c>
      <c r="F76" s="13" t="n">
        <v>60</v>
      </c>
      <c r="H76" s="3" t="s">
        <v>127</v>
      </c>
    </row>
    <row r="77" customFormat="false" ht="15" hidden="false" customHeight="false" outlineLevel="0" collapsed="false">
      <c r="A77" s="10" t="s">
        <v>128</v>
      </c>
      <c r="B77" s="11" t="n">
        <v>0.75</v>
      </c>
      <c r="C77" s="11" t="n">
        <v>0.75</v>
      </c>
      <c r="D77" s="11" t="n">
        <v>0.75</v>
      </c>
      <c r="E77" s="11" t="n">
        <v>0.75</v>
      </c>
      <c r="F77" s="11" t="n">
        <v>0.75</v>
      </c>
      <c r="H77" s="3" t="s">
        <v>129</v>
      </c>
    </row>
    <row r="78" customFormat="false" ht="15" hidden="false" customHeight="false" outlineLevel="0" collapsed="false">
      <c r="A78" s="10" t="s">
        <v>130</v>
      </c>
      <c r="B78" s="11" t="n">
        <v>1</v>
      </c>
      <c r="C78" s="11" t="n">
        <v>1</v>
      </c>
      <c r="D78" s="11" t="n">
        <v>1</v>
      </c>
      <c r="E78" s="11" t="n">
        <v>1</v>
      </c>
      <c r="F78" s="11" t="n">
        <v>1</v>
      </c>
      <c r="H78" s="3"/>
    </row>
    <row r="79" customFormat="false" ht="15" hidden="false" customHeight="false" outlineLevel="0" collapsed="false">
      <c r="A79" s="10" t="s">
        <v>131</v>
      </c>
      <c r="B79" s="11" t="n">
        <v>1</v>
      </c>
      <c r="C79" s="11" t="n">
        <v>1</v>
      </c>
      <c r="D79" s="11" t="n">
        <v>1</v>
      </c>
      <c r="E79" s="11" t="n">
        <v>1</v>
      </c>
      <c r="F79" s="11" t="n">
        <v>1</v>
      </c>
      <c r="H79" s="3"/>
    </row>
    <row r="80" customFormat="false" ht="15" hidden="false" customHeight="false" outlineLevel="0" collapsed="false">
      <c r="A80" s="10" t="s">
        <v>132</v>
      </c>
      <c r="B80" s="11" t="n">
        <v>0.3</v>
      </c>
      <c r="C80" s="11" t="n">
        <v>0.3</v>
      </c>
      <c r="D80" s="11" t="n">
        <v>0.3</v>
      </c>
      <c r="E80" s="11" t="n">
        <v>0.3</v>
      </c>
      <c r="F80" s="11" t="n">
        <v>0.3</v>
      </c>
      <c r="H80" s="3"/>
    </row>
    <row r="81" customFormat="false" ht="15" hidden="false" customHeight="false" outlineLevel="0" collapsed="false">
      <c r="A81" s="10" t="s">
        <v>133</v>
      </c>
      <c r="B81" s="11" t="n">
        <v>0.3</v>
      </c>
      <c r="C81" s="11" t="n">
        <v>0.4</v>
      </c>
      <c r="D81" s="11" t="n">
        <v>0.45</v>
      </c>
      <c r="E81" s="11" t="n">
        <v>0.5</v>
      </c>
      <c r="F81" s="11" t="n">
        <v>0.5</v>
      </c>
      <c r="H81" s="3" t="s">
        <v>134</v>
      </c>
    </row>
  </sheetData>
  <mergeCells count="11">
    <mergeCell ref="A1:H1"/>
    <mergeCell ref="A4:H4"/>
    <mergeCell ref="A12:H12"/>
    <mergeCell ref="A21:H21"/>
    <mergeCell ref="A29:H29"/>
    <mergeCell ref="A35:H35"/>
    <mergeCell ref="A43:H43"/>
    <mergeCell ref="A50:H50"/>
    <mergeCell ref="A59:H59"/>
    <mergeCell ref="A67:H67"/>
    <mergeCell ref="A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136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137</v>
      </c>
      <c r="B5" s="17" t="n">
        <f aca="false">Hypothèses!B13</f>
        <v>25</v>
      </c>
      <c r="C5" s="17" t="n">
        <f aca="false">Hypothèses!C13</f>
        <v>28</v>
      </c>
      <c r="D5" s="17" t="n">
        <f aca="false">Hypothèses!D13</f>
        <v>32</v>
      </c>
      <c r="E5" s="17" t="n">
        <f aca="false">Hypothèses!E13</f>
        <v>35</v>
      </c>
      <c r="F5" s="17" t="n">
        <f aca="false">Hypothèses!F13</f>
        <v>38</v>
      </c>
    </row>
    <row r="6" customFormat="false" ht="15" hidden="false" customHeight="false" outlineLevel="0" collapsed="false">
      <c r="A6" s="10" t="s">
        <v>75</v>
      </c>
      <c r="B6" s="17" t="n">
        <f aca="false">Hypothèses!B18</f>
        <v>350</v>
      </c>
      <c r="C6" s="17" t="n">
        <f aca="false">Hypothèses!C18</f>
        <v>380</v>
      </c>
      <c r="D6" s="17" t="n">
        <f aca="false">Hypothèses!D18</f>
        <v>410</v>
      </c>
      <c r="E6" s="17" t="n">
        <f aca="false">Hypothèses!E18</f>
        <v>440</v>
      </c>
      <c r="F6" s="17" t="n">
        <f aca="false">Hypothèses!F18</f>
        <v>470</v>
      </c>
    </row>
    <row r="7" customFormat="false" ht="15" hidden="false" customHeight="false" outlineLevel="0" collapsed="false">
      <c r="A7" s="14" t="s">
        <v>138</v>
      </c>
      <c r="B7" s="18" t="n">
        <f aca="false">IFERROR(B6/B5,0)</f>
        <v>14</v>
      </c>
      <c r="C7" s="18" t="n">
        <f aca="false">IFERROR(C6/C5,0)</f>
        <v>13.5714285714286</v>
      </c>
      <c r="D7" s="18" t="n">
        <f aca="false">IFERROR(D6/D5,0)</f>
        <v>12.8125</v>
      </c>
      <c r="E7" s="18" t="n">
        <f aca="false">IFERROR(E6/E5,0)</f>
        <v>12.5714285714286</v>
      </c>
      <c r="F7" s="18" t="n">
        <f aca="false">IFERROR(F6/F5,0)</f>
        <v>12.3684210526316</v>
      </c>
    </row>
    <row r="9" customFormat="false" ht="21.75" hidden="false" customHeight="true" outlineLevel="0" collapsed="false">
      <c r="A9" s="4" t="s">
        <v>139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140</v>
      </c>
      <c r="B10" s="17" t="n">
        <f aca="false">Hypothèses!B14</f>
        <v>80</v>
      </c>
      <c r="C10" s="17" t="n">
        <f aca="false">Hypothèses!C14</f>
        <v>92</v>
      </c>
      <c r="D10" s="17" t="n">
        <f aca="false">Hypothèses!D14</f>
        <v>105</v>
      </c>
      <c r="E10" s="17" t="n">
        <f aca="false">Hypothèses!E14</f>
        <v>118</v>
      </c>
      <c r="F10" s="17" t="n">
        <f aca="false">Hypothèses!F14</f>
        <v>132</v>
      </c>
    </row>
    <row r="11" customFormat="false" ht="15" hidden="false" customHeight="false" outlineLevel="0" collapsed="false">
      <c r="A11" s="10" t="s">
        <v>141</v>
      </c>
      <c r="B11" s="19" t="s">
        <v>142</v>
      </c>
      <c r="C11" s="20" t="n">
        <f aca="false">IFERROR(C10/B10-1,0)</f>
        <v>0.15</v>
      </c>
      <c r="D11" s="20" t="n">
        <f aca="false">IFERROR(D10/C10-1,0)</f>
        <v>0.141304347826087</v>
      </c>
      <c r="E11" s="20" t="n">
        <f aca="false">IFERROR(E10/D10-1,0)</f>
        <v>0.123809523809524</v>
      </c>
      <c r="F11" s="20" t="n">
        <f aca="false">IFERROR(F10/E10-1,0)</f>
        <v>0.11864406779661</v>
      </c>
    </row>
    <row r="12" customFormat="false" ht="15" hidden="false" customHeight="false" outlineLevel="0" collapsed="false">
      <c r="A12" s="10" t="s">
        <v>143</v>
      </c>
      <c r="B12" s="17" t="n">
        <f aca="false">Hypothèses!B16</f>
        <v>1500</v>
      </c>
      <c r="C12" s="17" t="n">
        <f aca="false">Hypothèses!C16</f>
        <v>1650</v>
      </c>
      <c r="D12" s="17" t="n">
        <f aca="false">Hypothèses!D16</f>
        <v>1800</v>
      </c>
      <c r="E12" s="17" t="n">
        <f aca="false">Hypothèses!E16</f>
        <v>1950</v>
      </c>
      <c r="F12" s="17" t="n">
        <f aca="false">Hypothèses!F16</f>
        <v>2100</v>
      </c>
    </row>
    <row r="13" customFormat="false" ht="15" hidden="false" customHeight="false" outlineLevel="0" collapsed="false">
      <c r="A13" s="10" t="s">
        <v>144</v>
      </c>
      <c r="B13" s="17" t="n">
        <f aca="false">Hypothèses!B17</f>
        <v>120</v>
      </c>
      <c r="C13" s="17" t="n">
        <f aca="false">Hypothèses!C17</f>
        <v>130</v>
      </c>
      <c r="D13" s="17" t="n">
        <f aca="false">Hypothèses!D17</f>
        <v>140</v>
      </c>
      <c r="E13" s="17" t="n">
        <f aca="false">Hypothèses!E17</f>
        <v>150</v>
      </c>
      <c r="F13" s="17" t="n">
        <f aca="false">Hypothèses!F17</f>
        <v>160</v>
      </c>
    </row>
    <row r="15" customFormat="false" ht="21.75" hidden="false" customHeight="true" outlineLevel="0" collapsed="false">
      <c r="A15" s="4" t="s">
        <v>145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146</v>
      </c>
      <c r="B16" s="21" t="n">
        <f aca="false">IFERROR(Hypothèses!B22*1000/Hypothèses!B14,0)</f>
        <v>1062.5</v>
      </c>
      <c r="C16" s="21" t="n">
        <f aca="false">IFERROR(Hypothèses!C22*1000/Hypothèses!C14,0)</f>
        <v>1108.69565217391</v>
      </c>
      <c r="D16" s="21" t="n">
        <f aca="false">IFERROR(Hypothèses!D22*1000/Hypothèses!D14,0)</f>
        <v>1161.90476190476</v>
      </c>
      <c r="E16" s="21" t="n">
        <f aca="false">IFERROR(Hypothèses!E22*1000/Hypothèses!E14,0)</f>
        <v>1220.33898305085</v>
      </c>
      <c r="F16" s="21" t="n">
        <f aca="false">IFERROR(Hypothèses!F22*1000/Hypothèses!F14,0)</f>
        <v>1272.72727272727</v>
      </c>
    </row>
    <row r="17" customFormat="false" ht="15" hidden="false" customHeight="false" outlineLevel="0" collapsed="false">
      <c r="A17" s="10" t="s">
        <v>147</v>
      </c>
      <c r="B17" s="21" t="n">
        <f aca="false">IFERROR(Hypothèses!B23*1000/Hypothèses!B16,0)</f>
        <v>80</v>
      </c>
      <c r="C17" s="21" t="n">
        <f aca="false">IFERROR(Hypothèses!C23*1000/Hypothèses!C16,0)</f>
        <v>87.2727272727273</v>
      </c>
      <c r="D17" s="21" t="n">
        <f aca="false">IFERROR(Hypothèses!D23*1000/Hypothèses!D16,0)</f>
        <v>94.4444444444444</v>
      </c>
      <c r="E17" s="21" t="n">
        <f aca="false">IFERROR(Hypothèses!E23*1000/Hypothèses!E16,0)</f>
        <v>101.538461538462</v>
      </c>
      <c r="F17" s="21" t="n">
        <f aca="false">IFERROR(Hypothèses!F23*1000/Hypothèses!F16,0)</f>
        <v>108.571428571429</v>
      </c>
    </row>
    <row r="18" customFormat="false" ht="15" hidden="false" customHeight="false" outlineLevel="0" collapsed="false">
      <c r="A18" s="10" t="s">
        <v>148</v>
      </c>
      <c r="B18" s="21" t="n">
        <f aca="false">IFERROR(Hypothèses!B24*1000/Hypothèses!B17,0)</f>
        <v>1500</v>
      </c>
      <c r="C18" s="21" t="n">
        <f aca="false">IFERROR(Hypothèses!C24*1000/Hypothèses!C17,0)</f>
        <v>1523.07692307692</v>
      </c>
      <c r="D18" s="21" t="n">
        <f aca="false">IFERROR(Hypothèses!D24*1000/Hypothèses!D17,0)</f>
        <v>1550</v>
      </c>
      <c r="E18" s="21" t="n">
        <f aca="false">IFERROR(Hypothèses!E24*1000/Hypothèses!E17,0)</f>
        <v>1586.66666666667</v>
      </c>
      <c r="F18" s="21" t="n">
        <f aca="false">IFERROR(Hypothèses!F24*1000/Hypothèses!F17,0)</f>
        <v>1631.25</v>
      </c>
    </row>
  </sheetData>
  <mergeCells count="4">
    <mergeCell ref="A1:H1"/>
    <mergeCell ref="A4:H4"/>
    <mergeCell ref="A9:H9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150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78</v>
      </c>
      <c r="B5" s="22" t="n">
        <f aca="false">Hypothèses!B22</f>
        <v>85</v>
      </c>
      <c r="C5" s="22" t="n">
        <f aca="false">Hypothèses!C22</f>
        <v>102</v>
      </c>
      <c r="D5" s="22" t="n">
        <f aca="false">Hypothèses!D22</f>
        <v>122</v>
      </c>
      <c r="E5" s="22" t="n">
        <f aca="false">Hypothèses!E22</f>
        <v>144</v>
      </c>
      <c r="F5" s="22" t="n">
        <f aca="false">Hypothèses!F22</f>
        <v>168</v>
      </c>
    </row>
    <row r="6" customFormat="false" ht="15" hidden="false" customHeight="false" outlineLevel="0" collapsed="false">
      <c r="A6" s="10" t="s">
        <v>79</v>
      </c>
      <c r="B6" s="22" t="n">
        <f aca="false">Hypothèses!B23</f>
        <v>120</v>
      </c>
      <c r="C6" s="22" t="n">
        <f aca="false">Hypothèses!C23</f>
        <v>144</v>
      </c>
      <c r="D6" s="22" t="n">
        <f aca="false">Hypothèses!D23</f>
        <v>170</v>
      </c>
      <c r="E6" s="22" t="n">
        <f aca="false">Hypothèses!E23</f>
        <v>198</v>
      </c>
      <c r="F6" s="22" t="n">
        <f aca="false">Hypothèses!F23</f>
        <v>228</v>
      </c>
    </row>
    <row r="7" customFormat="false" ht="15" hidden="false" customHeight="false" outlineLevel="0" collapsed="false">
      <c r="A7" s="10" t="s">
        <v>80</v>
      </c>
      <c r="B7" s="22" t="n">
        <f aca="false">Hypothèses!B24</f>
        <v>180</v>
      </c>
      <c r="C7" s="22" t="n">
        <f aca="false">Hypothèses!C24</f>
        <v>198</v>
      </c>
      <c r="D7" s="22" t="n">
        <f aca="false">Hypothèses!D24</f>
        <v>217</v>
      </c>
      <c r="E7" s="22" t="n">
        <f aca="false">Hypothèses!E24</f>
        <v>238</v>
      </c>
      <c r="F7" s="22" t="n">
        <f aca="false">Hypothèses!F24</f>
        <v>261</v>
      </c>
    </row>
    <row r="8" customFormat="false" ht="15" hidden="false" customHeight="false" outlineLevel="0" collapsed="false">
      <c r="A8" s="10" t="s">
        <v>151</v>
      </c>
      <c r="B8" s="22" t="n">
        <f aca="false">Hypothèses!B25</f>
        <v>25</v>
      </c>
      <c r="C8" s="22" t="n">
        <f aca="false">Hypothèses!C25</f>
        <v>30</v>
      </c>
      <c r="D8" s="22" t="n">
        <f aca="false">Hypothèses!D25</f>
        <v>36</v>
      </c>
      <c r="E8" s="22" t="n">
        <f aca="false">Hypothèses!E25</f>
        <v>42</v>
      </c>
      <c r="F8" s="22" t="n">
        <f aca="false">Hypothèses!F25</f>
        <v>48</v>
      </c>
    </row>
    <row r="9" customFormat="false" ht="15" hidden="false" customHeight="false" outlineLevel="0" collapsed="false">
      <c r="A9" s="14" t="s">
        <v>82</v>
      </c>
      <c r="B9" s="15" t="n">
        <f aca="false">SUM(B5:B8)</f>
        <v>410</v>
      </c>
      <c r="C9" s="15" t="n">
        <f aca="false">SUM(C5:C8)</f>
        <v>474</v>
      </c>
      <c r="D9" s="15" t="n">
        <f aca="false">SUM(D5:D8)</f>
        <v>545</v>
      </c>
      <c r="E9" s="15" t="n">
        <f aca="false">SUM(E5:E8)</f>
        <v>622</v>
      </c>
      <c r="F9" s="15" t="n">
        <f aca="false">SUM(F5:F8)</f>
        <v>705</v>
      </c>
    </row>
    <row r="11" customFormat="false" ht="21.75" hidden="false" customHeight="true" outlineLevel="0" collapsed="false">
      <c r="A11" s="4" t="s">
        <v>152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153</v>
      </c>
      <c r="B12" s="21" t="n">
        <f aca="false">B5/2</f>
        <v>42.5</v>
      </c>
      <c r="C12" s="21" t="n">
        <f aca="false">(B5+C5)/2</f>
        <v>93.5</v>
      </c>
      <c r="D12" s="21" t="n">
        <f aca="false">(C5+D5)/2</f>
        <v>112</v>
      </c>
      <c r="E12" s="21" t="n">
        <f aca="false">(D5+E5)/2</f>
        <v>133</v>
      </c>
      <c r="F12" s="21" t="n">
        <f aca="false">(E5+F5)/2</f>
        <v>156</v>
      </c>
    </row>
    <row r="13" customFormat="false" ht="15" hidden="false" customHeight="false" outlineLevel="0" collapsed="false">
      <c r="A13" s="10" t="s">
        <v>154</v>
      </c>
      <c r="B13" s="21" t="n">
        <f aca="false">B6/2</f>
        <v>60</v>
      </c>
      <c r="C13" s="21" t="n">
        <f aca="false">(B6+C6)/2</f>
        <v>132</v>
      </c>
      <c r="D13" s="21" t="n">
        <f aca="false">(C6+D6)/2</f>
        <v>157</v>
      </c>
      <c r="E13" s="21" t="n">
        <f aca="false">(D6+E6)/2</f>
        <v>184</v>
      </c>
      <c r="F13" s="21" t="n">
        <f aca="false">(E6+F6)/2</f>
        <v>213</v>
      </c>
    </row>
    <row r="14" customFormat="false" ht="15" hidden="false" customHeight="false" outlineLevel="0" collapsed="false">
      <c r="A14" s="10" t="s">
        <v>155</v>
      </c>
      <c r="B14" s="21" t="n">
        <f aca="false">B7/2</f>
        <v>90</v>
      </c>
      <c r="C14" s="21" t="n">
        <f aca="false">(B7+C7)/2</f>
        <v>189</v>
      </c>
      <c r="D14" s="21" t="n">
        <f aca="false">(C7+D7)/2</f>
        <v>207.5</v>
      </c>
      <c r="E14" s="21" t="n">
        <f aca="false">(D7+E7)/2</f>
        <v>227.5</v>
      </c>
      <c r="F14" s="21" t="n">
        <f aca="false">(E7+F7)/2</f>
        <v>249.5</v>
      </c>
    </row>
    <row r="15" customFormat="false" ht="15" hidden="false" customHeight="false" outlineLevel="0" collapsed="false">
      <c r="A15" s="10" t="s">
        <v>156</v>
      </c>
      <c r="B15" s="21" t="n">
        <f aca="false">B8/2</f>
        <v>12.5</v>
      </c>
      <c r="C15" s="21" t="n">
        <f aca="false">(B8+C8)/2</f>
        <v>27.5</v>
      </c>
      <c r="D15" s="21" t="n">
        <f aca="false">(C8+D8)/2</f>
        <v>33</v>
      </c>
      <c r="E15" s="21" t="n">
        <f aca="false">(D8+E8)/2</f>
        <v>39</v>
      </c>
      <c r="F15" s="21" t="n">
        <f aca="false">(E8+F8)/2</f>
        <v>45</v>
      </c>
    </row>
    <row r="17" customFormat="false" ht="21.75" hidden="false" customHeight="true" outlineLevel="0" collapsed="false">
      <c r="A17" s="4" t="s">
        <v>157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0" t="s">
        <v>158</v>
      </c>
      <c r="B18" s="21" t="n">
        <f aca="false">B12*Hypothèses!B30</f>
        <v>5.7375</v>
      </c>
      <c r="C18" s="21" t="n">
        <f aca="false">C12*Hypothèses!C30</f>
        <v>12.6225</v>
      </c>
      <c r="D18" s="21" t="n">
        <f aca="false">D12*Hypothèses!D30</f>
        <v>14.56</v>
      </c>
      <c r="E18" s="21" t="n">
        <f aca="false">E12*Hypothèses!E30</f>
        <v>17.29</v>
      </c>
      <c r="F18" s="21" t="n">
        <f aca="false">F12*Hypothèses!F30</f>
        <v>19.5</v>
      </c>
    </row>
    <row r="19" customFormat="false" ht="15" hidden="false" customHeight="false" outlineLevel="0" collapsed="false">
      <c r="A19" s="10" t="s">
        <v>159</v>
      </c>
      <c r="B19" s="21" t="n">
        <f aca="false">B13*Hypothèses!B31</f>
        <v>6.9</v>
      </c>
      <c r="C19" s="21" t="n">
        <f aca="false">C13*Hypothèses!C31</f>
        <v>15.18</v>
      </c>
      <c r="D19" s="21" t="n">
        <f aca="false">D13*Hypothèses!D31</f>
        <v>17.27</v>
      </c>
      <c r="E19" s="21" t="n">
        <f aca="false">E13*Hypothèses!E31</f>
        <v>20.24</v>
      </c>
      <c r="F19" s="21" t="n">
        <f aca="false">F13*Hypothèses!F31</f>
        <v>22.365</v>
      </c>
    </row>
    <row r="20" customFormat="false" ht="15" hidden="false" customHeight="false" outlineLevel="0" collapsed="false">
      <c r="A20" s="10" t="s">
        <v>160</v>
      </c>
      <c r="B20" s="21" t="n">
        <f aca="false">B14*Hypothèses!B32</f>
        <v>7.65</v>
      </c>
      <c r="C20" s="21" t="n">
        <f aca="false">C14*Hypothèses!C32</f>
        <v>16.065</v>
      </c>
      <c r="D20" s="21" t="n">
        <f aca="false">D14*Hypothèses!D32</f>
        <v>16.6</v>
      </c>
      <c r="E20" s="21" t="n">
        <f aca="false">E14*Hypothèses!E32</f>
        <v>18.2</v>
      </c>
      <c r="F20" s="21" t="n">
        <f aca="false">F14*Hypothèses!F32</f>
        <v>18.7125</v>
      </c>
    </row>
    <row r="21" customFormat="false" ht="15" hidden="false" customHeight="false" outlineLevel="0" collapsed="false">
      <c r="A21" s="10" t="s">
        <v>161</v>
      </c>
      <c r="B21" s="21" t="n">
        <f aca="false">B15*Hypothèses!B33</f>
        <v>1.3125</v>
      </c>
      <c r="C21" s="21" t="n">
        <f aca="false">C15*Hypothèses!C33</f>
        <v>2.8875</v>
      </c>
      <c r="D21" s="21" t="n">
        <f aca="false">D15*Hypothèses!D33</f>
        <v>3.3</v>
      </c>
      <c r="E21" s="21" t="n">
        <f aca="false">E15*Hypothèses!E33</f>
        <v>3.9</v>
      </c>
      <c r="F21" s="21" t="n">
        <f aca="false">F15*Hypothèses!F33</f>
        <v>4.275</v>
      </c>
    </row>
    <row r="22" customFormat="false" ht="15" hidden="false" customHeight="false" outlineLevel="0" collapsed="false">
      <c r="A22" s="14" t="s">
        <v>162</v>
      </c>
      <c r="B22" s="15" t="n">
        <f aca="false">SUM(B18:B21)</f>
        <v>21.6</v>
      </c>
      <c r="C22" s="15" t="n">
        <f aca="false">SUM(C18:C21)</f>
        <v>46.755</v>
      </c>
      <c r="D22" s="15" t="n">
        <f aca="false">SUM(D18:D21)</f>
        <v>51.73</v>
      </c>
      <c r="E22" s="15" t="n">
        <f aca="false">SUM(E18:E21)</f>
        <v>59.63</v>
      </c>
      <c r="F22" s="15" t="n">
        <f aca="false">SUM(F18:F21)</f>
        <v>64.8525</v>
      </c>
    </row>
  </sheetData>
  <mergeCells count="4">
    <mergeCell ref="A1:H1"/>
    <mergeCell ref="A4:H4"/>
    <mergeCell ref="A11:H1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164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89</v>
      </c>
      <c r="B5" s="22" t="n">
        <f aca="false">Hypothèses!B36</f>
        <v>180</v>
      </c>
      <c r="C5" s="22" t="n">
        <f aca="false">Hypothèses!C36</f>
        <v>207</v>
      </c>
      <c r="D5" s="22" t="n">
        <f aca="false">Hypothèses!D36</f>
        <v>238</v>
      </c>
      <c r="E5" s="22" t="n">
        <f aca="false">Hypothèses!E36</f>
        <v>274</v>
      </c>
      <c r="F5" s="22" t="n">
        <f aca="false">Hypothèses!F36</f>
        <v>314</v>
      </c>
    </row>
    <row r="6" customFormat="false" ht="15" hidden="false" customHeight="false" outlineLevel="0" collapsed="false">
      <c r="A6" s="10" t="s">
        <v>165</v>
      </c>
      <c r="B6" s="22" t="n">
        <f aca="false">Hypothèses!B37</f>
        <v>85</v>
      </c>
      <c r="C6" s="22" t="n">
        <f aca="false">Hypothèses!C37</f>
        <v>95</v>
      </c>
      <c r="D6" s="22" t="n">
        <f aca="false">Hypothèses!D37</f>
        <v>106</v>
      </c>
      <c r="E6" s="22" t="n">
        <f aca="false">Hypothèses!E37</f>
        <v>119</v>
      </c>
      <c r="F6" s="22" t="n">
        <f aca="false">Hypothèses!F37</f>
        <v>133</v>
      </c>
    </row>
    <row r="7" customFormat="false" ht="15" hidden="false" customHeight="false" outlineLevel="0" collapsed="false">
      <c r="A7" s="10" t="s">
        <v>92</v>
      </c>
      <c r="B7" s="22" t="n">
        <f aca="false">Hypothèses!B38</f>
        <v>110</v>
      </c>
      <c r="C7" s="22" t="n">
        <f aca="false">Hypothèses!C38</f>
        <v>122</v>
      </c>
      <c r="D7" s="22" t="n">
        <f aca="false">Hypothèses!D38</f>
        <v>134</v>
      </c>
      <c r="E7" s="22" t="n">
        <f aca="false">Hypothèses!E38</f>
        <v>147</v>
      </c>
      <c r="F7" s="22" t="n">
        <f aca="false">Hypothèses!F38</f>
        <v>162</v>
      </c>
    </row>
    <row r="8" customFormat="false" ht="15" hidden="false" customHeight="false" outlineLevel="0" collapsed="false">
      <c r="A8" s="10" t="s">
        <v>93</v>
      </c>
      <c r="B8" s="22" t="n">
        <f aca="false">Hypothèses!B39</f>
        <v>35</v>
      </c>
      <c r="C8" s="22" t="n">
        <f aca="false">Hypothèses!C39</f>
        <v>38</v>
      </c>
      <c r="D8" s="22" t="n">
        <f aca="false">Hypothèses!D39</f>
        <v>41</v>
      </c>
      <c r="E8" s="22" t="n">
        <f aca="false">Hypothèses!E39</f>
        <v>45</v>
      </c>
      <c r="F8" s="22" t="n">
        <f aca="false">Hypothèses!F39</f>
        <v>49</v>
      </c>
    </row>
    <row r="9" customFormat="false" ht="15" hidden="false" customHeight="false" outlineLevel="0" collapsed="false">
      <c r="A9" s="14" t="s">
        <v>94</v>
      </c>
      <c r="B9" s="15" t="n">
        <f aca="false">SUM(B5:B8)</f>
        <v>410</v>
      </c>
      <c r="C9" s="15" t="n">
        <f aca="false">SUM(C5:C8)</f>
        <v>462</v>
      </c>
      <c r="D9" s="15" t="n">
        <f aca="false">SUM(D5:D8)</f>
        <v>519</v>
      </c>
      <c r="E9" s="15" t="n">
        <f aca="false">SUM(E5:E8)</f>
        <v>585</v>
      </c>
      <c r="F9" s="15" t="n">
        <f aca="false">SUM(F5:F8)</f>
        <v>658</v>
      </c>
    </row>
    <row r="11" customFormat="false" ht="21.75" hidden="false" customHeight="true" outlineLevel="0" collapsed="false">
      <c r="A11" s="4" t="s">
        <v>166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167</v>
      </c>
      <c r="B12" s="21" t="n">
        <f aca="false">B5/2</f>
        <v>90</v>
      </c>
      <c r="C12" s="21" t="n">
        <f aca="false">(B5+C5)/2</f>
        <v>193.5</v>
      </c>
      <c r="D12" s="21" t="n">
        <f aca="false">(C5+D5)/2</f>
        <v>222.5</v>
      </c>
      <c r="E12" s="21" t="n">
        <f aca="false">(D5+E5)/2</f>
        <v>256</v>
      </c>
      <c r="F12" s="21" t="n">
        <f aca="false">(E5+F5)/2</f>
        <v>294</v>
      </c>
    </row>
    <row r="13" customFormat="false" ht="15" hidden="false" customHeight="false" outlineLevel="0" collapsed="false">
      <c r="A13" s="10" t="s">
        <v>168</v>
      </c>
      <c r="B13" s="21" t="n">
        <f aca="false">B6/2</f>
        <v>42.5</v>
      </c>
      <c r="C13" s="21" t="n">
        <f aca="false">(B6+C6)/2</f>
        <v>90</v>
      </c>
      <c r="D13" s="21" t="n">
        <f aca="false">(C6+D6)/2</f>
        <v>100.5</v>
      </c>
      <c r="E13" s="21" t="n">
        <f aca="false">(D6+E6)/2</f>
        <v>112.5</v>
      </c>
      <c r="F13" s="21" t="n">
        <f aca="false">(E6+F6)/2</f>
        <v>126</v>
      </c>
    </row>
    <row r="14" customFormat="false" ht="15" hidden="false" customHeight="false" outlineLevel="0" collapsed="false">
      <c r="A14" s="10" t="s">
        <v>169</v>
      </c>
      <c r="B14" s="21" t="n">
        <f aca="false">B7/2</f>
        <v>55</v>
      </c>
      <c r="C14" s="21" t="n">
        <f aca="false">(B7+C7)/2</f>
        <v>116</v>
      </c>
      <c r="D14" s="21" t="n">
        <f aca="false">(C7+D7)/2</f>
        <v>128</v>
      </c>
      <c r="E14" s="21" t="n">
        <f aca="false">(D7+E7)/2</f>
        <v>140.5</v>
      </c>
      <c r="F14" s="21" t="n">
        <f aca="false">(E7+F7)/2</f>
        <v>154.5</v>
      </c>
    </row>
    <row r="15" customFormat="false" ht="15" hidden="false" customHeight="false" outlineLevel="0" collapsed="false">
      <c r="A15" s="10" t="s">
        <v>170</v>
      </c>
      <c r="B15" s="21" t="n">
        <f aca="false">B8/2</f>
        <v>17.5</v>
      </c>
      <c r="C15" s="21" t="n">
        <f aca="false">(B8+C8)/2</f>
        <v>36.5</v>
      </c>
      <c r="D15" s="21" t="n">
        <f aca="false">(C8+D8)/2</f>
        <v>39.5</v>
      </c>
      <c r="E15" s="21" t="n">
        <f aca="false">(D8+E8)/2</f>
        <v>43</v>
      </c>
      <c r="F15" s="21" t="n">
        <f aca="false">(E8+F8)/2</f>
        <v>47</v>
      </c>
    </row>
    <row r="17" customFormat="false" ht="21.75" hidden="false" customHeight="true" outlineLevel="0" collapsed="false">
      <c r="A17" s="4" t="s">
        <v>171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0" t="s">
        <v>172</v>
      </c>
      <c r="B18" s="21" t="n">
        <f aca="false">B12*Hypothèses!B44</f>
        <v>0.18</v>
      </c>
      <c r="C18" s="21" t="n">
        <f aca="false">C12*Hypothèses!C44</f>
        <v>0.387</v>
      </c>
      <c r="D18" s="21" t="n">
        <f aca="false">D12*Hypothèses!D44</f>
        <v>0.445</v>
      </c>
      <c r="E18" s="21" t="n">
        <f aca="false">E12*Hypothèses!E44</f>
        <v>0.512</v>
      </c>
      <c r="F18" s="21" t="n">
        <f aca="false">F12*Hypothèses!F44</f>
        <v>0.588</v>
      </c>
    </row>
    <row r="19" customFormat="false" ht="15" hidden="false" customHeight="false" outlineLevel="0" collapsed="false">
      <c r="A19" s="10" t="s">
        <v>173</v>
      </c>
      <c r="B19" s="21" t="n">
        <f aca="false">B13*Hypothèses!B45</f>
        <v>1.38125</v>
      </c>
      <c r="C19" s="21" t="n">
        <f aca="false">C13*Hypothèses!C45</f>
        <v>2.925</v>
      </c>
      <c r="D19" s="21" t="n">
        <f aca="false">D13*Hypothèses!D45</f>
        <v>3.26625</v>
      </c>
      <c r="E19" s="21" t="n">
        <f aca="false">E13*Hypothèses!E45</f>
        <v>3.65625</v>
      </c>
      <c r="F19" s="21" t="n">
        <f aca="false">F13*Hypothèses!F45</f>
        <v>4.095</v>
      </c>
    </row>
    <row r="20" customFormat="false" ht="15" hidden="false" customHeight="false" outlineLevel="0" collapsed="false">
      <c r="A20" s="10" t="s">
        <v>174</v>
      </c>
      <c r="B20" s="21" t="n">
        <f aca="false">B14*Hypothèses!B46</f>
        <v>3.025</v>
      </c>
      <c r="C20" s="21" t="n">
        <f aca="false">C14*Hypothèses!C46</f>
        <v>6.38</v>
      </c>
      <c r="D20" s="21" t="n">
        <f aca="false">D14*Hypothèses!D46</f>
        <v>6.4</v>
      </c>
      <c r="E20" s="21" t="n">
        <f aca="false">E14*Hypothèses!E46</f>
        <v>7.025</v>
      </c>
      <c r="F20" s="21" t="n">
        <f aca="false">F14*Hypothèses!F46</f>
        <v>6.9525</v>
      </c>
    </row>
    <row r="21" customFormat="false" ht="15" hidden="false" customHeight="false" outlineLevel="0" collapsed="false">
      <c r="A21" s="10" t="s">
        <v>175</v>
      </c>
      <c r="B21" s="21" t="n">
        <f aca="false">B15*Hypothèses!B47</f>
        <v>0.7875</v>
      </c>
      <c r="C21" s="21" t="n">
        <f aca="false">C15*Hypothèses!C47</f>
        <v>1.6425</v>
      </c>
      <c r="D21" s="21" t="n">
        <f aca="false">D15*Hypothèses!D47</f>
        <v>1.58</v>
      </c>
      <c r="E21" s="21" t="n">
        <f aca="false">E15*Hypothèses!E47</f>
        <v>1.72</v>
      </c>
      <c r="F21" s="21" t="n">
        <f aca="false">F15*Hypothèses!F47</f>
        <v>1.645</v>
      </c>
    </row>
    <row r="22" customFormat="false" ht="15" hidden="false" customHeight="false" outlineLevel="0" collapsed="false">
      <c r="A22" s="14" t="s">
        <v>176</v>
      </c>
      <c r="B22" s="15" t="n">
        <f aca="false">SUM(B18:B21)</f>
        <v>5.37375</v>
      </c>
      <c r="C22" s="15" t="n">
        <f aca="false">SUM(C18:C21)</f>
        <v>11.3345</v>
      </c>
      <c r="D22" s="15" t="n">
        <f aca="false">SUM(D18:D21)</f>
        <v>11.69125</v>
      </c>
      <c r="E22" s="15" t="n">
        <f aca="false">SUM(E18:E21)</f>
        <v>12.91325</v>
      </c>
      <c r="F22" s="15" t="n">
        <f aca="false">SUM(F18:F21)</f>
        <v>13.2805</v>
      </c>
    </row>
    <row r="24" customFormat="false" ht="21.75" hidden="false" customHeight="true" outlineLevel="0" collapsed="false">
      <c r="A24" s="4" t="s">
        <v>177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10" t="s">
        <v>178</v>
      </c>
      <c r="B25" s="21" t="n">
        <f aca="false">SUM(B12:B15)</f>
        <v>205</v>
      </c>
      <c r="C25" s="21" t="n">
        <f aca="false">SUM(C12:C15)</f>
        <v>436</v>
      </c>
      <c r="D25" s="21" t="n">
        <f aca="false">SUM(D12:D15)</f>
        <v>490.5</v>
      </c>
      <c r="E25" s="21" t="n">
        <f aca="false">SUM(E12:E15)</f>
        <v>552</v>
      </c>
      <c r="F25" s="21" t="n">
        <f aca="false">SUM(F12:F15)</f>
        <v>621.5</v>
      </c>
    </row>
    <row r="26" customFormat="false" ht="15" hidden="false" customHeight="false" outlineLevel="0" collapsed="false">
      <c r="A26" s="14" t="s">
        <v>179</v>
      </c>
      <c r="B26" s="23" t="n">
        <f aca="false">IFERROR(B22/B25,0)</f>
        <v>0.0262134146341463</v>
      </c>
      <c r="C26" s="23" t="n">
        <f aca="false">IFERROR(C22/C25,0)</f>
        <v>0.0259965596330275</v>
      </c>
      <c r="D26" s="23" t="n">
        <f aca="false">IFERROR(D22/D25,0)</f>
        <v>0.023835372069317</v>
      </c>
      <c r="E26" s="23" t="n">
        <f aca="false">IFERROR(E22/E25,0)</f>
        <v>0.0233935688405797</v>
      </c>
      <c r="F26" s="23" t="n">
        <f aca="false">IFERROR(F22/F25,0)</f>
        <v>0.0213684633950121</v>
      </c>
    </row>
    <row r="27" customFormat="false" ht="15" hidden="false" customHeight="false" outlineLevel="0" collapsed="false">
      <c r="A27" s="14" t="s">
        <v>180</v>
      </c>
      <c r="B27" s="24" t="n">
        <f aca="false">IFERROR(B12/B25,0)</f>
        <v>0.439024390243902</v>
      </c>
      <c r="C27" s="24" t="n">
        <f aca="false">IFERROR(C12/C25,0)</f>
        <v>0.443807339449541</v>
      </c>
      <c r="D27" s="24" t="n">
        <f aca="false">IFERROR(D12/D25,0)</f>
        <v>0.45361875637105</v>
      </c>
      <c r="E27" s="24" t="n">
        <f aca="false">IFERROR(E12/E25,0)</f>
        <v>0.463768115942029</v>
      </c>
      <c r="F27" s="24" t="n">
        <f aca="false">IFERROR(F12/F25,0)</f>
        <v>0.473049074818986</v>
      </c>
    </row>
  </sheetData>
  <mergeCells count="5">
    <mergeCell ref="A1:H1"/>
    <mergeCell ref="A4:H4"/>
    <mergeCell ref="A11:H11"/>
    <mergeCell ref="A17:H17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182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183</v>
      </c>
      <c r="B5" s="22" t="n">
        <f aca="false">Crédits!B22</f>
        <v>21.6</v>
      </c>
      <c r="C5" s="22" t="n">
        <f aca="false">Crédits!C22</f>
        <v>46.755</v>
      </c>
      <c r="D5" s="22" t="n">
        <f aca="false">Crédits!D22</f>
        <v>51.73</v>
      </c>
      <c r="E5" s="22" t="n">
        <f aca="false">Crédits!E22</f>
        <v>59.63</v>
      </c>
      <c r="F5" s="22" t="n">
        <f aca="false">Crédits!F22</f>
        <v>64.8525</v>
      </c>
    </row>
    <row r="6" customFormat="false" ht="15" hidden="false" customHeight="false" outlineLevel="0" collapsed="false">
      <c r="A6" s="10" t="s">
        <v>184</v>
      </c>
      <c r="B6" s="22" t="n">
        <f aca="false">Dépôts!B22</f>
        <v>5.37375</v>
      </c>
      <c r="C6" s="22" t="n">
        <f aca="false">Dépôts!C22</f>
        <v>11.3345</v>
      </c>
      <c r="D6" s="22" t="n">
        <f aca="false">Dépôts!D22</f>
        <v>11.69125</v>
      </c>
      <c r="E6" s="22" t="n">
        <f aca="false">Dépôts!E22</f>
        <v>12.91325</v>
      </c>
      <c r="F6" s="22" t="n">
        <f aca="false">Dépôts!F22</f>
        <v>13.2805</v>
      </c>
    </row>
    <row r="7" customFormat="false" ht="15" hidden="false" customHeight="false" outlineLevel="0" collapsed="false">
      <c r="A7" s="14" t="s">
        <v>185</v>
      </c>
      <c r="B7" s="15" t="n">
        <f aca="false">B5-B6</f>
        <v>16.22625</v>
      </c>
      <c r="C7" s="15" t="n">
        <f aca="false">C5-C6</f>
        <v>35.4205</v>
      </c>
      <c r="D7" s="15" t="n">
        <f aca="false">D5-D6</f>
        <v>40.03875</v>
      </c>
      <c r="E7" s="15" t="n">
        <f aca="false">E5-E6</f>
        <v>46.71675</v>
      </c>
      <c r="F7" s="15" t="n">
        <f aca="false">F5-F6</f>
        <v>51.572</v>
      </c>
    </row>
    <row r="9" customFormat="false" ht="21.75" hidden="false" customHeight="true" outlineLevel="0" collapsed="false">
      <c r="A9" s="4" t="s">
        <v>186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187</v>
      </c>
      <c r="B10" s="22" t="n">
        <f aca="false">Hypothèses!B51</f>
        <v>4.2</v>
      </c>
      <c r="C10" s="22" t="n">
        <f aca="false">Hypothèses!C51</f>
        <v>4.8</v>
      </c>
      <c r="D10" s="22" t="n">
        <f aca="false">Hypothèses!D51</f>
        <v>5.4</v>
      </c>
      <c r="E10" s="22" t="n">
        <f aca="false">Hypothèses!E51</f>
        <v>6.1</v>
      </c>
      <c r="F10" s="22" t="n">
        <f aca="false">Hypothèses!F51</f>
        <v>6.8</v>
      </c>
    </row>
    <row r="11" customFormat="false" ht="15" hidden="false" customHeight="false" outlineLevel="0" collapsed="false">
      <c r="A11" s="10" t="s">
        <v>188</v>
      </c>
      <c r="B11" s="22" t="n">
        <f aca="false">Hypothèses!B52</f>
        <v>3.5</v>
      </c>
      <c r="C11" s="22" t="n">
        <f aca="false">Hypothèses!C52</f>
        <v>4.2</v>
      </c>
      <c r="D11" s="22" t="n">
        <f aca="false">Hypothèses!D52</f>
        <v>5.1</v>
      </c>
      <c r="E11" s="22" t="n">
        <f aca="false">Hypothèses!E52</f>
        <v>6</v>
      </c>
      <c r="F11" s="22" t="n">
        <f aca="false">Hypothèses!F52</f>
        <v>7.1</v>
      </c>
    </row>
    <row r="12" customFormat="false" ht="15" hidden="false" customHeight="false" outlineLevel="0" collapsed="false">
      <c r="A12" s="10" t="s">
        <v>107</v>
      </c>
      <c r="B12" s="22" t="n">
        <f aca="false">Hypothèses!B53</f>
        <v>2.8</v>
      </c>
      <c r="C12" s="22" t="n">
        <f aca="false">Hypothèses!C53</f>
        <v>3.1</v>
      </c>
      <c r="D12" s="22" t="n">
        <f aca="false">Hypothèses!D53</f>
        <v>3.5</v>
      </c>
      <c r="E12" s="22" t="n">
        <f aca="false">Hypothèses!E53</f>
        <v>3.9</v>
      </c>
      <c r="F12" s="22" t="n">
        <f aca="false">Hypothèses!F53</f>
        <v>4.3</v>
      </c>
    </row>
    <row r="13" customFormat="false" ht="15" hidden="false" customHeight="false" outlineLevel="0" collapsed="false">
      <c r="A13" s="10" t="s">
        <v>108</v>
      </c>
      <c r="B13" s="22" t="n">
        <f aca="false">Hypothèses!B54</f>
        <v>1.5</v>
      </c>
      <c r="C13" s="22" t="n">
        <f aca="false">Hypothèses!C54</f>
        <v>1.7</v>
      </c>
      <c r="D13" s="22" t="n">
        <f aca="false">Hypothèses!D54</f>
        <v>1.9</v>
      </c>
      <c r="E13" s="22" t="n">
        <f aca="false">Hypothèses!E54</f>
        <v>2.1</v>
      </c>
      <c r="F13" s="22" t="n">
        <f aca="false">Hypothèses!F54</f>
        <v>2.3</v>
      </c>
    </row>
    <row r="14" customFormat="false" ht="15" hidden="false" customHeight="false" outlineLevel="0" collapsed="false">
      <c r="A14" s="10" t="s">
        <v>189</v>
      </c>
      <c r="B14" s="22" t="n">
        <f aca="false">Hypothèses!B55</f>
        <v>1.8</v>
      </c>
      <c r="C14" s="22" t="n">
        <f aca="false">Hypothèses!C55</f>
        <v>2</v>
      </c>
      <c r="D14" s="22" t="n">
        <f aca="false">Hypothèses!D55</f>
        <v>2.2</v>
      </c>
      <c r="E14" s="22" t="n">
        <f aca="false">Hypothèses!E55</f>
        <v>2.4</v>
      </c>
      <c r="F14" s="22" t="n">
        <f aca="false">Hypothèses!F55</f>
        <v>2.6</v>
      </c>
    </row>
    <row r="15" customFormat="false" ht="15" hidden="false" customHeight="false" outlineLevel="0" collapsed="false">
      <c r="A15" s="14" t="s">
        <v>110</v>
      </c>
      <c r="B15" s="15" t="n">
        <f aca="false">SUM(B10:B14)</f>
        <v>13.8</v>
      </c>
      <c r="C15" s="15" t="n">
        <f aca="false">SUM(C10:C14)</f>
        <v>15.8</v>
      </c>
      <c r="D15" s="15" t="n">
        <f aca="false">SUM(D10:D14)</f>
        <v>18.1</v>
      </c>
      <c r="E15" s="15" t="n">
        <f aca="false">SUM(E10:E14)</f>
        <v>20.5</v>
      </c>
      <c r="F15" s="15" t="n">
        <f aca="false">SUM(F10:F14)</f>
        <v>23.1</v>
      </c>
    </row>
    <row r="17" customFormat="false" ht="21.75" hidden="false" customHeight="true" outlineLevel="0" collapsed="false">
      <c r="A17" s="4" t="s">
        <v>190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4" t="s">
        <v>191</v>
      </c>
      <c r="B18" s="25" t="n">
        <f aca="false">B7+B15</f>
        <v>30.02625</v>
      </c>
      <c r="C18" s="25" t="n">
        <f aca="false">C7+C15</f>
        <v>51.2205</v>
      </c>
      <c r="D18" s="25" t="n">
        <f aca="false">D7+D15</f>
        <v>58.13875</v>
      </c>
      <c r="E18" s="25" t="n">
        <f aca="false">E7+E15</f>
        <v>67.21675</v>
      </c>
      <c r="F18" s="25" t="n">
        <f aca="false">F7+F15</f>
        <v>74.672</v>
      </c>
    </row>
    <row r="20" customFormat="false" ht="21.75" hidden="false" customHeight="true" outlineLevel="0" collapsed="false">
      <c r="A20" s="4" t="s">
        <v>192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10" t="s">
        <v>193</v>
      </c>
      <c r="B21" s="20" t="n">
        <f aca="false">IFERROR(B7/B18,0)</f>
        <v>0.540402148120395</v>
      </c>
      <c r="C21" s="20" t="n">
        <f aca="false">IFERROR(C7/C18,0)</f>
        <v>0.691529758592751</v>
      </c>
      <c r="D21" s="20" t="n">
        <f aca="false">IFERROR(D7/D18,0)</f>
        <v>0.688675797123261</v>
      </c>
      <c r="E21" s="20" t="n">
        <f aca="false">IFERROR(E7/E18,0)</f>
        <v>0.695016495144439</v>
      </c>
      <c r="F21" s="20" t="n">
        <f aca="false">IFERROR(F7/F18,0)</f>
        <v>0.690647096635955</v>
      </c>
    </row>
    <row r="22" customFormat="false" ht="15" hidden="false" customHeight="false" outlineLevel="0" collapsed="false">
      <c r="A22" s="10" t="s">
        <v>194</v>
      </c>
      <c r="B22" s="20" t="n">
        <f aca="false">IFERROR(B15/B18,0)</f>
        <v>0.459597851879605</v>
      </c>
      <c r="C22" s="20" t="n">
        <f aca="false">IFERROR(C15/C18,0)</f>
        <v>0.308470241407249</v>
      </c>
      <c r="D22" s="20" t="n">
        <f aca="false">IFERROR(D15/D18,0)</f>
        <v>0.311324202876739</v>
      </c>
      <c r="E22" s="20" t="n">
        <f aca="false">IFERROR(E15/E18,0)</f>
        <v>0.304983504855561</v>
      </c>
      <c r="F22" s="20" t="n">
        <f aca="false">IFERROR(F15/F18,0)</f>
        <v>0.309352903364045</v>
      </c>
    </row>
    <row r="23" customFormat="false" ht="15" hidden="false" customHeight="false" outlineLevel="0" collapsed="false">
      <c r="A23" s="10" t="s">
        <v>195</v>
      </c>
      <c r="B23" s="19" t="s">
        <v>142</v>
      </c>
      <c r="C23" s="20" t="n">
        <f aca="false">IFERROR(C18/B18-1,0)</f>
        <v>0.705857374797053</v>
      </c>
      <c r="D23" s="20" t="n">
        <f aca="false">IFERROR(D18/C18-1,0)</f>
        <v>0.135067990355424</v>
      </c>
      <c r="E23" s="20" t="n">
        <f aca="false">IFERROR(E18/D18-1,0)</f>
        <v>0.156143707940057</v>
      </c>
      <c r="F23" s="20" t="n">
        <f aca="false">IFERROR(F18/E18-1,0)</f>
        <v>0.110913574369484</v>
      </c>
    </row>
  </sheetData>
  <mergeCells count="5">
    <mergeCell ref="A1:H1"/>
    <mergeCell ref="A4:H4"/>
    <mergeCell ref="A9:H9"/>
    <mergeCell ref="A17:H17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197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198</v>
      </c>
      <c r="B5" s="17" t="n">
        <f aca="false">Hypothèses!B18</f>
        <v>350</v>
      </c>
      <c r="C5" s="17" t="n">
        <f aca="false">Hypothèses!C18</f>
        <v>380</v>
      </c>
      <c r="D5" s="17" t="n">
        <f aca="false">Hypothèses!D18</f>
        <v>410</v>
      </c>
      <c r="E5" s="17" t="n">
        <f aca="false">Hypothèses!E18</f>
        <v>440</v>
      </c>
      <c r="F5" s="17" t="n">
        <f aca="false">Hypothèses!F18</f>
        <v>470</v>
      </c>
    </row>
    <row r="6" customFormat="false" ht="15" hidden="false" customHeight="false" outlineLevel="0" collapsed="false">
      <c r="A6" s="10" t="s">
        <v>199</v>
      </c>
      <c r="B6" s="22" t="n">
        <f aca="false">Hypothèses!B19</f>
        <v>6.5</v>
      </c>
      <c r="C6" s="22" t="n">
        <f aca="false">Hypothèses!C19</f>
        <v>6.8</v>
      </c>
      <c r="D6" s="22" t="n">
        <f aca="false">Hypothèses!D19</f>
        <v>7.1</v>
      </c>
      <c r="E6" s="22" t="n">
        <f aca="false">Hypothèses!E19</f>
        <v>7.4</v>
      </c>
      <c r="F6" s="22" t="n">
        <f aca="false">Hypothèses!F19</f>
        <v>7.7</v>
      </c>
    </row>
    <row r="7" customFormat="false" ht="15" hidden="false" customHeight="false" outlineLevel="0" collapsed="false">
      <c r="A7" s="14" t="s">
        <v>200</v>
      </c>
      <c r="B7" s="15" t="n">
        <f aca="false">B5*B6/1000</f>
        <v>2.275</v>
      </c>
      <c r="C7" s="15" t="n">
        <f aca="false">C5*C6/1000</f>
        <v>2.584</v>
      </c>
      <c r="D7" s="15" t="n">
        <f aca="false">D5*D6/1000</f>
        <v>2.911</v>
      </c>
      <c r="E7" s="15" t="n">
        <f aca="false">E5*E6/1000</f>
        <v>3.256</v>
      </c>
      <c r="F7" s="15" t="n">
        <f aca="false">F5*F6/1000</f>
        <v>3.619</v>
      </c>
    </row>
    <row r="9" customFormat="false" ht="21.75" hidden="false" customHeight="true" outlineLevel="0" collapsed="false">
      <c r="A9" s="4" t="s">
        <v>201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112</v>
      </c>
      <c r="B10" s="22" t="n">
        <f aca="false">Hypothèses!B60</f>
        <v>3.5</v>
      </c>
      <c r="C10" s="22" t="n">
        <f aca="false">Hypothèses!C60</f>
        <v>3.8</v>
      </c>
      <c r="D10" s="22" t="n">
        <f aca="false">Hypothèses!D60</f>
        <v>4.1</v>
      </c>
      <c r="E10" s="22" t="n">
        <f aca="false">Hypothèses!E60</f>
        <v>4.4</v>
      </c>
      <c r="F10" s="22" t="n">
        <f aca="false">Hypothèses!F60</f>
        <v>4.8</v>
      </c>
    </row>
    <row r="11" customFormat="false" ht="15" hidden="false" customHeight="false" outlineLevel="0" collapsed="false">
      <c r="A11" s="10" t="s">
        <v>113</v>
      </c>
      <c r="B11" s="22" t="n">
        <f aca="false">Hypothèses!B61</f>
        <v>2.8</v>
      </c>
      <c r="C11" s="22" t="n">
        <f aca="false">Hypothèses!C61</f>
        <v>3.1</v>
      </c>
      <c r="D11" s="22" t="n">
        <f aca="false">Hypothèses!D61</f>
        <v>3.4</v>
      </c>
      <c r="E11" s="22" t="n">
        <f aca="false">Hypothèses!E61</f>
        <v>3.7</v>
      </c>
      <c r="F11" s="22" t="n">
        <f aca="false">Hypothèses!F61</f>
        <v>4</v>
      </c>
    </row>
    <row r="12" customFormat="false" ht="15" hidden="false" customHeight="false" outlineLevel="0" collapsed="false">
      <c r="A12" s="10" t="s">
        <v>114</v>
      </c>
      <c r="B12" s="22" t="n">
        <f aca="false">Hypothèses!B62</f>
        <v>1.5</v>
      </c>
      <c r="C12" s="22" t="n">
        <f aca="false">Hypothèses!C62</f>
        <v>1.7</v>
      </c>
      <c r="D12" s="22" t="n">
        <f aca="false">Hypothèses!D62</f>
        <v>1.9</v>
      </c>
      <c r="E12" s="22" t="n">
        <f aca="false">Hypothèses!E62</f>
        <v>2.1</v>
      </c>
      <c r="F12" s="22" t="n">
        <f aca="false">Hypothèses!F62</f>
        <v>2.3</v>
      </c>
    </row>
    <row r="13" customFormat="false" ht="15" hidden="false" customHeight="false" outlineLevel="0" collapsed="false">
      <c r="A13" s="10" t="s">
        <v>115</v>
      </c>
      <c r="B13" s="22" t="n">
        <f aca="false">Hypothèses!B63</f>
        <v>1.2</v>
      </c>
      <c r="C13" s="22" t="n">
        <f aca="false">Hypothèses!C63</f>
        <v>1.3</v>
      </c>
      <c r="D13" s="22" t="n">
        <f aca="false">Hypothèses!D63</f>
        <v>1.4</v>
      </c>
      <c r="E13" s="22" t="n">
        <f aca="false">Hypothèses!E63</f>
        <v>1.5</v>
      </c>
      <c r="F13" s="22" t="n">
        <f aca="false">Hypothèses!F63</f>
        <v>1.6</v>
      </c>
    </row>
    <row r="14" customFormat="false" ht="15" hidden="false" customHeight="false" outlineLevel="0" collapsed="false">
      <c r="A14" s="10" t="s">
        <v>116</v>
      </c>
      <c r="B14" s="22" t="n">
        <f aca="false">Hypothèses!B64</f>
        <v>1.8</v>
      </c>
      <c r="C14" s="22" t="n">
        <f aca="false">Hypothèses!C64</f>
        <v>2</v>
      </c>
      <c r="D14" s="22" t="n">
        <f aca="false">Hypothèses!D64</f>
        <v>2.2</v>
      </c>
      <c r="E14" s="22" t="n">
        <f aca="false">Hypothèses!E64</f>
        <v>2.4</v>
      </c>
      <c r="F14" s="22" t="n">
        <f aca="false">Hypothèses!F64</f>
        <v>2.6</v>
      </c>
    </row>
    <row r="15" customFormat="false" ht="15" hidden="false" customHeight="false" outlineLevel="0" collapsed="false">
      <c r="A15" s="10" t="s">
        <v>117</v>
      </c>
      <c r="B15" s="22" t="n">
        <f aca="false">Hypothèses!B65</f>
        <v>1.5</v>
      </c>
      <c r="C15" s="22" t="n">
        <f aca="false">Hypothèses!C65</f>
        <v>1.6</v>
      </c>
      <c r="D15" s="22" t="n">
        <f aca="false">Hypothèses!D65</f>
        <v>1.7</v>
      </c>
      <c r="E15" s="22" t="n">
        <f aca="false">Hypothèses!E65</f>
        <v>1.8</v>
      </c>
      <c r="F15" s="22" t="n">
        <f aca="false">Hypothèses!F65</f>
        <v>1.9</v>
      </c>
    </row>
    <row r="16" customFormat="false" ht="15" hidden="false" customHeight="false" outlineLevel="0" collapsed="false">
      <c r="A16" s="14" t="s">
        <v>202</v>
      </c>
      <c r="B16" s="15" t="n">
        <f aca="false">SUM(B10:B15)</f>
        <v>12.3</v>
      </c>
      <c r="C16" s="15" t="n">
        <f aca="false">SUM(C10:C15)</f>
        <v>13.5</v>
      </c>
      <c r="D16" s="15" t="n">
        <f aca="false">SUM(D10:D15)</f>
        <v>14.7</v>
      </c>
      <c r="E16" s="15" t="n">
        <f aca="false">SUM(E10:E15)</f>
        <v>15.9</v>
      </c>
      <c r="F16" s="15" t="n">
        <f aca="false">SUM(F10:F15)</f>
        <v>17.2</v>
      </c>
    </row>
    <row r="18" customFormat="false" ht="21.75" hidden="false" customHeight="true" outlineLevel="0" collapsed="false">
      <c r="A18" s="4" t="s">
        <v>203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14" t="s">
        <v>204</v>
      </c>
      <c r="B19" s="25" t="n">
        <f aca="false">B7+B16</f>
        <v>14.575</v>
      </c>
      <c r="C19" s="25" t="n">
        <f aca="false">C7+C16</f>
        <v>16.084</v>
      </c>
      <c r="D19" s="25" t="n">
        <f aca="false">D7+D16</f>
        <v>17.611</v>
      </c>
      <c r="E19" s="25" t="n">
        <f aca="false">E7+E16</f>
        <v>19.156</v>
      </c>
      <c r="F19" s="25" t="n">
        <f aca="false">F7+F16</f>
        <v>20.819</v>
      </c>
    </row>
    <row r="21" customFormat="false" ht="21.75" hidden="false" customHeight="true" outlineLevel="0" collapsed="false">
      <c r="A21" s="4" t="s">
        <v>205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4" t="s">
        <v>206</v>
      </c>
      <c r="B22" s="26" t="n">
        <f aca="false">IFERROR(B19/PNB!B18,0)</f>
        <v>0.485408600807627</v>
      </c>
      <c r="C22" s="26" t="n">
        <f aca="false">IFERROR(C19/PNB!C18,0)</f>
        <v>0.314014896379379</v>
      </c>
      <c r="D22" s="26" t="n">
        <f aca="false">IFERROR(D19/PNB!D18,0)</f>
        <v>0.302913289329406</v>
      </c>
      <c r="E22" s="26" t="n">
        <f aca="false">IFERROR(E19/PNB!E18,0)</f>
        <v>0.284988488732347</v>
      </c>
      <c r="F22" s="26" t="n">
        <f aca="false">IFERROR(F19/PNB!F18,0)</f>
        <v>0.278805978144418</v>
      </c>
    </row>
    <row r="23" customFormat="false" ht="15" hidden="false" customHeight="false" outlineLevel="0" collapsed="false">
      <c r="A23" s="10" t="s">
        <v>207</v>
      </c>
      <c r="B23" s="21" t="n">
        <f aca="false">IFERROR(PNB!B18*1000/B5,0)</f>
        <v>85.7892857142857</v>
      </c>
      <c r="C23" s="21" t="n">
        <f aca="false">IFERROR(PNB!C18*1000/C5,0)</f>
        <v>134.790789473684</v>
      </c>
      <c r="D23" s="21" t="n">
        <f aca="false">IFERROR(PNB!D18*1000/D5,0)</f>
        <v>141.801829268293</v>
      </c>
      <c r="E23" s="21" t="n">
        <f aca="false">IFERROR(PNB!E18*1000/E5,0)</f>
        <v>152.765340909091</v>
      </c>
      <c r="F23" s="21" t="n">
        <f aca="false">IFERROR(PNB!F18*1000/F5,0)</f>
        <v>158.876595744681</v>
      </c>
    </row>
  </sheetData>
  <mergeCells count="5">
    <mergeCell ref="A1:H1"/>
    <mergeCell ref="A4:H4"/>
    <mergeCell ref="A9:H9"/>
    <mergeCell ref="A18:H18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208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209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210</v>
      </c>
      <c r="B5" s="21" t="n">
        <f aca="false">Hypothèses!B22*Hypothèses!B68</f>
        <v>6.8</v>
      </c>
      <c r="C5" s="21" t="n">
        <f aca="false">Hypothèses!C22*Hypothèses!C68</f>
        <v>7.65</v>
      </c>
      <c r="D5" s="21" t="n">
        <f aca="false">Hypothèses!D22*Hypothèses!D68</f>
        <v>8.54</v>
      </c>
      <c r="E5" s="21" t="n">
        <f aca="false">Hypothèses!E22*Hypothèses!E68</f>
        <v>9.36</v>
      </c>
      <c r="F5" s="21" t="n">
        <f aca="false">Hypothèses!F22*Hypothèses!F68</f>
        <v>10.08</v>
      </c>
    </row>
    <row r="6" customFormat="false" ht="15" hidden="false" customHeight="false" outlineLevel="0" collapsed="false">
      <c r="A6" s="10" t="s">
        <v>211</v>
      </c>
      <c r="B6" s="21" t="n">
        <f aca="false">Hypothèses!B23*Hypothèses!B69</f>
        <v>13.2</v>
      </c>
      <c r="C6" s="21" t="n">
        <f aca="false">Hypothèses!C23*Hypothèses!C69</f>
        <v>15.12</v>
      </c>
      <c r="D6" s="21" t="n">
        <f aca="false">Hypothèses!D23*Hypothèses!D69</f>
        <v>17</v>
      </c>
      <c r="E6" s="21" t="n">
        <f aca="false">Hypothèses!E23*Hypothèses!E69</f>
        <v>18.81</v>
      </c>
      <c r="F6" s="21" t="n">
        <f aca="false">Hypothèses!F23*Hypothèses!F69</f>
        <v>20.52</v>
      </c>
    </row>
    <row r="7" customFormat="false" ht="15" hidden="false" customHeight="false" outlineLevel="0" collapsed="false">
      <c r="A7" s="10" t="s">
        <v>212</v>
      </c>
      <c r="B7" s="21" t="n">
        <f aca="false">Hypothèses!B24*Hypothèses!B70</f>
        <v>9</v>
      </c>
      <c r="C7" s="21" t="n">
        <f aca="false">Hypothèses!C24*Hypothèses!C70</f>
        <v>8.91</v>
      </c>
      <c r="D7" s="21" t="n">
        <f aca="false">Hypothèses!D24*Hypothèses!D70</f>
        <v>8.68</v>
      </c>
      <c r="E7" s="21" t="n">
        <f aca="false">Hypothèses!E24*Hypothèses!E70</f>
        <v>8.33</v>
      </c>
      <c r="F7" s="21" t="n">
        <f aca="false">Hypothèses!F24*Hypothèses!F70</f>
        <v>7.83</v>
      </c>
    </row>
    <row r="8" customFormat="false" ht="15" hidden="false" customHeight="false" outlineLevel="0" collapsed="false">
      <c r="A8" s="14" t="s">
        <v>213</v>
      </c>
      <c r="B8" s="15" t="n">
        <f aca="false">SUM(B5:B7)</f>
        <v>29</v>
      </c>
      <c r="C8" s="15" t="n">
        <f aca="false">SUM(C5:C7)</f>
        <v>31.68</v>
      </c>
      <c r="D8" s="15" t="n">
        <f aca="false">SUM(D5:D7)</f>
        <v>34.22</v>
      </c>
      <c r="E8" s="15" t="n">
        <f aca="false">SUM(E5:E7)</f>
        <v>36.5</v>
      </c>
      <c r="F8" s="15" t="n">
        <f aca="false">SUM(F5:F7)</f>
        <v>38.43</v>
      </c>
    </row>
    <row r="9" customFormat="false" ht="15" hidden="false" customHeight="false" outlineLevel="0" collapsed="false">
      <c r="A9" s="14" t="s">
        <v>214</v>
      </c>
      <c r="B9" s="26" t="n">
        <f aca="false">IFERROR(B8/Crédits!B9,0)</f>
        <v>0.0707317073170732</v>
      </c>
      <c r="C9" s="26" t="n">
        <f aca="false">IFERROR(C8/Crédits!C9,0)</f>
        <v>0.0668354430379747</v>
      </c>
      <c r="D9" s="26" t="n">
        <f aca="false">IFERROR(D8/Crédits!D9,0)</f>
        <v>0.0627889908256881</v>
      </c>
      <c r="E9" s="26" t="n">
        <f aca="false">IFERROR(E8/Crédits!E9,0)</f>
        <v>0.0586816720257235</v>
      </c>
      <c r="F9" s="26" t="n">
        <f aca="false">IFERROR(F8/Crédits!F9,0)</f>
        <v>0.0545106382978723</v>
      </c>
    </row>
    <row r="11" customFormat="false" ht="21.75" hidden="false" customHeight="true" outlineLevel="0" collapsed="false">
      <c r="A11" s="4" t="s">
        <v>215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216</v>
      </c>
      <c r="B12" s="22" t="n">
        <f aca="false">Crédits!B9</f>
        <v>410</v>
      </c>
      <c r="C12" s="22" t="n">
        <f aca="false">Crédits!C9</f>
        <v>474</v>
      </c>
      <c r="D12" s="22" t="n">
        <f aca="false">Crédits!D9</f>
        <v>545</v>
      </c>
      <c r="E12" s="22" t="n">
        <f aca="false">Crédits!E9</f>
        <v>622</v>
      </c>
      <c r="F12" s="22" t="n">
        <f aca="false">Crédits!F9</f>
        <v>705</v>
      </c>
    </row>
    <row r="13" customFormat="false" ht="15" hidden="false" customHeight="false" outlineLevel="0" collapsed="false">
      <c r="A13" s="10" t="s">
        <v>217</v>
      </c>
      <c r="B13" s="21" t="n">
        <f aca="false">(B12-B8)*0.85</f>
        <v>323.85</v>
      </c>
      <c r="C13" s="21" t="n">
        <f aca="false">(C12-C8)*0.85</f>
        <v>375.972</v>
      </c>
      <c r="D13" s="21" t="n">
        <f aca="false">(D12-D8)*0.85</f>
        <v>434.163</v>
      </c>
      <c r="E13" s="21" t="n">
        <f aca="false">(E12-E8)*0.85</f>
        <v>497.675</v>
      </c>
      <c r="F13" s="21" t="n">
        <f aca="false">(F12-F8)*0.85</f>
        <v>566.5845</v>
      </c>
    </row>
    <row r="14" customFormat="false" ht="15" hidden="false" customHeight="false" outlineLevel="0" collapsed="false">
      <c r="A14" s="10" t="s">
        <v>218</v>
      </c>
      <c r="B14" s="21" t="n">
        <f aca="false">(B12-B8)*0.15</f>
        <v>57.15</v>
      </c>
      <c r="C14" s="21" t="n">
        <f aca="false">(C12-C8)*0.15</f>
        <v>66.348</v>
      </c>
      <c r="D14" s="21" t="n">
        <f aca="false">(D12-D8)*0.15</f>
        <v>76.617</v>
      </c>
      <c r="E14" s="21" t="n">
        <f aca="false">(E12-E8)*0.15</f>
        <v>87.825</v>
      </c>
      <c r="F14" s="21" t="n">
        <f aca="false">(F12-F8)*0.15</f>
        <v>99.9855</v>
      </c>
    </row>
    <row r="15" customFormat="false" ht="15" hidden="false" customHeight="false" outlineLevel="0" collapsed="false">
      <c r="A15" s="10" t="s">
        <v>219</v>
      </c>
      <c r="B15" s="21" t="n">
        <f aca="false">B8</f>
        <v>29</v>
      </c>
      <c r="C15" s="21" t="n">
        <f aca="false">C8</f>
        <v>31.68</v>
      </c>
      <c r="D15" s="21" t="n">
        <f aca="false">D8</f>
        <v>34.22</v>
      </c>
      <c r="E15" s="21" t="n">
        <f aca="false">E8</f>
        <v>36.5</v>
      </c>
      <c r="F15" s="21" t="n">
        <f aca="false">F8</f>
        <v>38.43</v>
      </c>
    </row>
    <row r="17" customFormat="false" ht="21.75" hidden="false" customHeight="true" outlineLevel="0" collapsed="false">
      <c r="A17" s="4" t="s">
        <v>220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0" t="s">
        <v>221</v>
      </c>
      <c r="B18" s="21" t="n">
        <f aca="false">B13*Hypothèses!B71</f>
        <v>1.61925</v>
      </c>
      <c r="C18" s="21" t="n">
        <f aca="false">C13*Hypothèses!C71</f>
        <v>1.87986</v>
      </c>
      <c r="D18" s="21" t="n">
        <f aca="false">D13*Hypothèses!D71</f>
        <v>2.170815</v>
      </c>
      <c r="E18" s="21" t="n">
        <f aca="false">E13*Hypothèses!E71</f>
        <v>2.488375</v>
      </c>
      <c r="F18" s="21" t="n">
        <f aca="false">F13*Hypothèses!F71</f>
        <v>2.8329225</v>
      </c>
    </row>
    <row r="19" customFormat="false" ht="15" hidden="false" customHeight="false" outlineLevel="0" collapsed="false">
      <c r="A19" s="10" t="s">
        <v>222</v>
      </c>
      <c r="B19" s="21" t="n">
        <f aca="false">B14*Hypothèses!B72</f>
        <v>2.286</v>
      </c>
      <c r="C19" s="21" t="n">
        <f aca="false">C14*Hypothèses!C72</f>
        <v>2.65392</v>
      </c>
      <c r="D19" s="21" t="n">
        <f aca="false">D14*Hypothèses!D72</f>
        <v>3.06468</v>
      </c>
      <c r="E19" s="21" t="n">
        <f aca="false">E14*Hypothèses!E72</f>
        <v>3.513</v>
      </c>
      <c r="F19" s="21" t="n">
        <f aca="false">F14*Hypothèses!F72</f>
        <v>3.99942</v>
      </c>
    </row>
    <row r="20" customFormat="false" ht="15" hidden="false" customHeight="false" outlineLevel="0" collapsed="false">
      <c r="A20" s="10" t="s">
        <v>223</v>
      </c>
      <c r="B20" s="21" t="n">
        <f aca="false">B15*Hypothèses!B73</f>
        <v>14.5</v>
      </c>
      <c r="C20" s="21" t="n">
        <f aca="false">C15*Hypothèses!C73</f>
        <v>15.84</v>
      </c>
      <c r="D20" s="21" t="n">
        <f aca="false">D15*Hypothèses!D73</f>
        <v>17.11</v>
      </c>
      <c r="E20" s="21" t="n">
        <f aca="false">E15*Hypothèses!E73</f>
        <v>18.25</v>
      </c>
      <c r="F20" s="21" t="n">
        <f aca="false">F15*Hypothèses!F73</f>
        <v>19.215</v>
      </c>
    </row>
    <row r="21" customFormat="false" ht="15" hidden="false" customHeight="false" outlineLevel="0" collapsed="false">
      <c r="A21" s="14" t="s">
        <v>224</v>
      </c>
      <c r="B21" s="15" t="n">
        <f aca="false">SUM(B18:B20)</f>
        <v>18.40525</v>
      </c>
      <c r="C21" s="15" t="n">
        <f aca="false">SUM(C18:C20)</f>
        <v>20.37378</v>
      </c>
      <c r="D21" s="15" t="n">
        <f aca="false">SUM(D18:D20)</f>
        <v>22.345495</v>
      </c>
      <c r="E21" s="15" t="n">
        <f aca="false">SUM(E18:E20)</f>
        <v>24.251375</v>
      </c>
      <c r="F21" s="15" t="n">
        <f aca="false">SUM(F18:F20)</f>
        <v>26.0473425</v>
      </c>
    </row>
    <row r="23" customFormat="false" ht="21.75" hidden="false" customHeight="true" outlineLevel="0" collapsed="false">
      <c r="A23" s="4" t="s">
        <v>225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14" t="s">
        <v>226</v>
      </c>
      <c r="B24" s="25" t="n">
        <f aca="false">B21</f>
        <v>18.40525</v>
      </c>
      <c r="C24" s="25" t="n">
        <f aca="false">C21-B21</f>
        <v>1.96853</v>
      </c>
      <c r="D24" s="25" t="n">
        <f aca="false">D21-C21</f>
        <v>1.971715</v>
      </c>
      <c r="E24" s="25" t="n">
        <f aca="false">E21-D21</f>
        <v>1.90588</v>
      </c>
      <c r="F24" s="25" t="n">
        <f aca="false">F21-E21</f>
        <v>1.7959675</v>
      </c>
    </row>
    <row r="25" customFormat="false" ht="15" hidden="false" customHeight="false" outlineLevel="0" collapsed="false">
      <c r="A25" s="14" t="s">
        <v>227</v>
      </c>
      <c r="B25" s="27" t="n">
        <f aca="false">IFERROR(B24/B12,0)</f>
        <v>0.0448908536585366</v>
      </c>
      <c r="C25" s="27" t="n">
        <f aca="false">IFERROR(C24/((B12+C12)/2),0)</f>
        <v>0.00445368778280543</v>
      </c>
      <c r="D25" s="27" t="n">
        <f aca="false">IFERROR(D24/((C12+D12)/2),0)</f>
        <v>0.00386990186457311</v>
      </c>
      <c r="E25" s="27" t="n">
        <f aca="false">IFERROR(E24/((D12+E12)/2),0)</f>
        <v>0.00326628963153385</v>
      </c>
      <c r="F25" s="27" t="n">
        <f aca="false">IFERROR(F24/((E12+F12)/2),0)</f>
        <v>0.00270680859080633</v>
      </c>
    </row>
  </sheetData>
  <mergeCells count="5">
    <mergeCell ref="A1:H1"/>
    <mergeCell ref="A4:H4"/>
    <mergeCell ref="A11:H11"/>
    <mergeCell ref="A17:H17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228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229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4" t="s">
        <v>230</v>
      </c>
      <c r="B5" s="22" t="n">
        <f aca="false">PNB!B18</f>
        <v>30.02625</v>
      </c>
      <c r="C5" s="22" t="n">
        <f aca="false">PNB!C18</f>
        <v>51.2205</v>
      </c>
      <c r="D5" s="22" t="n">
        <f aca="false">PNB!D18</f>
        <v>58.13875</v>
      </c>
      <c r="E5" s="22" t="n">
        <f aca="false">PNB!E18</f>
        <v>67.21675</v>
      </c>
      <c r="F5" s="22" t="n">
        <f aca="false">PNB!F18</f>
        <v>74.672</v>
      </c>
    </row>
    <row r="7" customFormat="false" ht="21.75" hidden="false" customHeight="true" outlineLevel="0" collapsed="false">
      <c r="A7" s="4" t="s">
        <v>231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10" t="s">
        <v>232</v>
      </c>
      <c r="B8" s="22" t="n">
        <f aca="false">-Charges!B19</f>
        <v>-14.575</v>
      </c>
      <c r="C8" s="22" t="n">
        <f aca="false">-Charges!C19</f>
        <v>-16.084</v>
      </c>
      <c r="D8" s="22" t="n">
        <f aca="false">-Charges!D19</f>
        <v>-17.611</v>
      </c>
      <c r="E8" s="22" t="n">
        <f aca="false">-Charges!E19</f>
        <v>-19.156</v>
      </c>
      <c r="F8" s="22" t="n">
        <f aca="false">-Charges!F19</f>
        <v>-20.819</v>
      </c>
    </row>
    <row r="10" customFormat="false" ht="21.75" hidden="false" customHeight="true" outlineLevel="0" collapsed="false">
      <c r="A10" s="4" t="s">
        <v>233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4" t="s">
        <v>234</v>
      </c>
      <c r="B11" s="15" t="n">
        <f aca="false">B5+B8</f>
        <v>15.45125</v>
      </c>
      <c r="C11" s="15" t="n">
        <f aca="false">C5+C8</f>
        <v>35.1365</v>
      </c>
      <c r="D11" s="15" t="n">
        <f aca="false">D5+D8</f>
        <v>40.52775</v>
      </c>
      <c r="E11" s="15" t="n">
        <f aca="false">E5+E8</f>
        <v>48.06075</v>
      </c>
      <c r="F11" s="15" t="n">
        <f aca="false">F5+F8</f>
        <v>53.853</v>
      </c>
    </row>
    <row r="13" customFormat="false" ht="21.75" hidden="false" customHeight="true" outlineLevel="0" collapsed="false">
      <c r="A13" s="4" t="s">
        <v>235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10" t="s">
        <v>236</v>
      </c>
      <c r="B14" s="22" t="n">
        <f aca="false">-'Coût risque'!B24</f>
        <v>-18.40525</v>
      </c>
      <c r="C14" s="22" t="n">
        <f aca="false">-'Coût risque'!C24</f>
        <v>-1.96853</v>
      </c>
      <c r="D14" s="22" t="n">
        <f aca="false">-'Coût risque'!D24</f>
        <v>-1.971715</v>
      </c>
      <c r="E14" s="22" t="n">
        <f aca="false">-'Coût risque'!E24</f>
        <v>-1.90588</v>
      </c>
      <c r="F14" s="22" t="n">
        <f aca="false">-'Coût risque'!F24</f>
        <v>-1.7959675</v>
      </c>
    </row>
    <row r="16" customFormat="false" ht="21.75" hidden="false" customHeight="true" outlineLevel="0" collapsed="false">
      <c r="A16" s="4" t="s">
        <v>237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4" t="s">
        <v>238</v>
      </c>
      <c r="B17" s="15" t="n">
        <f aca="false">B11+B14</f>
        <v>-2.954</v>
      </c>
      <c r="C17" s="15" t="n">
        <f aca="false">C11+C14</f>
        <v>33.16797</v>
      </c>
      <c r="D17" s="15" t="n">
        <f aca="false">D11+D14</f>
        <v>38.556035</v>
      </c>
      <c r="E17" s="15" t="n">
        <f aca="false">E11+E14</f>
        <v>46.15487</v>
      </c>
      <c r="F17" s="15" t="n">
        <f aca="false">F11+F14</f>
        <v>52.0570325</v>
      </c>
    </row>
    <row r="18" customFormat="false" ht="15" hidden="false" customHeight="false" outlineLevel="0" collapsed="false">
      <c r="A18" s="10" t="s">
        <v>239</v>
      </c>
      <c r="B18" s="21" t="n">
        <f aca="false">B17</f>
        <v>-2.954</v>
      </c>
      <c r="C18" s="21" t="n">
        <f aca="false">C17</f>
        <v>33.16797</v>
      </c>
      <c r="D18" s="21" t="n">
        <f aca="false">D17</f>
        <v>38.556035</v>
      </c>
      <c r="E18" s="21" t="n">
        <f aca="false">E17</f>
        <v>46.15487</v>
      </c>
      <c r="F18" s="21" t="n">
        <f aca="false">F17</f>
        <v>52.0570325</v>
      </c>
    </row>
    <row r="19" customFormat="false" ht="15" hidden="false" customHeight="false" outlineLevel="0" collapsed="false">
      <c r="A19" s="10" t="s">
        <v>240</v>
      </c>
      <c r="B19" s="21" t="n">
        <f aca="false">-MAX(B18,0)*Hypothèses!B8</f>
        <v>-0</v>
      </c>
      <c r="C19" s="21" t="n">
        <f aca="false">-MAX(C18,0)*Hypothèses!C8</f>
        <v>-9.950391</v>
      </c>
      <c r="D19" s="21" t="n">
        <f aca="false">-MAX(D18,0)*Hypothèses!D8</f>
        <v>-11.5668105</v>
      </c>
      <c r="E19" s="21" t="n">
        <f aca="false">-MAX(E18,0)*Hypothèses!E8</f>
        <v>-13.846461</v>
      </c>
      <c r="F19" s="21" t="n">
        <f aca="false">-MAX(F18,0)*Hypothèses!F8</f>
        <v>-15.61710975</v>
      </c>
    </row>
    <row r="20" customFormat="false" ht="15" hidden="false" customHeight="false" outlineLevel="0" collapsed="false">
      <c r="A20" s="14" t="s">
        <v>241</v>
      </c>
      <c r="B20" s="25" t="n">
        <f aca="false">B18+B19</f>
        <v>-2.954</v>
      </c>
      <c r="C20" s="25" t="n">
        <f aca="false">C18+C19</f>
        <v>23.217579</v>
      </c>
      <c r="D20" s="25" t="n">
        <f aca="false">D18+D19</f>
        <v>26.9892245</v>
      </c>
      <c r="E20" s="25" t="n">
        <f aca="false">E18+E19</f>
        <v>32.308409</v>
      </c>
      <c r="F20" s="25" t="n">
        <f aca="false">F18+F19</f>
        <v>36.43992275</v>
      </c>
    </row>
    <row r="22" customFormat="false" ht="21.75" hidden="false" customHeight="true" outlineLevel="0" collapsed="false">
      <c r="A22" s="4" t="s">
        <v>242</v>
      </c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10" t="s">
        <v>243</v>
      </c>
      <c r="B23" s="20" t="n">
        <f aca="false">IFERROR(-B8/B5,0)</f>
        <v>0.485408600807627</v>
      </c>
      <c r="C23" s="20" t="n">
        <f aca="false">IFERROR(-C8/C5,0)</f>
        <v>0.314014896379379</v>
      </c>
      <c r="D23" s="20" t="n">
        <f aca="false">IFERROR(-D8/D5,0)</f>
        <v>0.302913289329406</v>
      </c>
      <c r="E23" s="20" t="n">
        <f aca="false">IFERROR(-E8/E5,0)</f>
        <v>0.284988488732347</v>
      </c>
      <c r="F23" s="20" t="n">
        <f aca="false">IFERROR(-F8/F5,0)</f>
        <v>0.278805978144418</v>
      </c>
    </row>
    <row r="24" customFormat="false" ht="15" hidden="false" customHeight="false" outlineLevel="0" collapsed="false">
      <c r="A24" s="14" t="s">
        <v>244</v>
      </c>
      <c r="B24" s="26" t="n">
        <f aca="false">IFERROR(B20/B5,0)</f>
        <v>-0.0983805836559677</v>
      </c>
      <c r="C24" s="26" t="n">
        <f aca="false">IFERROR(C20/C5,0)</f>
        <v>0.453286848039359</v>
      </c>
      <c r="D24" s="26" t="n">
        <f aca="false">IFERROR(D20/D5,0)</f>
        <v>0.464220928382533</v>
      </c>
      <c r="E24" s="26" t="n">
        <f aca="false">IFERROR(E20/E5,0)</f>
        <v>0.480660088445216</v>
      </c>
      <c r="F24" s="26" t="n">
        <f aca="false">IFERROR(F20/F5,0)</f>
        <v>0.487999822557317</v>
      </c>
    </row>
  </sheetData>
  <mergeCells count="7">
    <mergeCell ref="A1:H1"/>
    <mergeCell ref="A4:H4"/>
    <mergeCell ref="A7:H7"/>
    <mergeCell ref="A10:H10"/>
    <mergeCell ref="A13:H13"/>
    <mergeCell ref="A16:H16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245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246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247</v>
      </c>
      <c r="B5" s="21" t="n">
        <f aca="false">Dépôts!B5*(Hypothèses!B48+0.02)</f>
        <v>9</v>
      </c>
      <c r="C5" s="21" t="n">
        <f aca="false">Dépôts!C5*(Hypothèses!C48+0.02)</f>
        <v>10.35</v>
      </c>
      <c r="D5" s="21" t="n">
        <f aca="false">Dépôts!D5*(Hypothèses!D48+0.02)</f>
        <v>11.9</v>
      </c>
      <c r="E5" s="21" t="n">
        <f aca="false">Dépôts!E5*(Hypothèses!E48+0.02)</f>
        <v>13.7</v>
      </c>
      <c r="F5" s="21" t="n">
        <f aca="false">Dépôts!F5*(Hypothèses!F48+0.02)</f>
        <v>15.7</v>
      </c>
    </row>
    <row r="6" customFormat="false" ht="15" hidden="false" customHeight="false" outlineLevel="0" collapsed="false">
      <c r="A6" s="10" t="s">
        <v>248</v>
      </c>
      <c r="B6" s="21" t="n">
        <f aca="false">Crédits!B9*0.06</f>
        <v>24.6</v>
      </c>
      <c r="C6" s="21" t="n">
        <f aca="false">Crédits!C9*0.06</f>
        <v>28.44</v>
      </c>
      <c r="D6" s="21" t="n">
        <f aca="false">Crédits!D9*0.06</f>
        <v>32.7</v>
      </c>
      <c r="E6" s="21" t="n">
        <f aca="false">Crédits!E9*0.06</f>
        <v>37.32</v>
      </c>
      <c r="F6" s="21" t="n">
        <f aca="false">Crédits!F9*0.06</f>
        <v>42.3</v>
      </c>
    </row>
    <row r="7" customFormat="false" ht="15" hidden="false" customHeight="false" outlineLevel="0" collapsed="false">
      <c r="A7" s="10" t="s">
        <v>249</v>
      </c>
      <c r="B7" s="21" t="n">
        <f aca="false">Crédits!B9*0.15</f>
        <v>61.5</v>
      </c>
      <c r="C7" s="21" t="n">
        <f aca="false">Crédits!C9*0.15</f>
        <v>71.1</v>
      </c>
      <c r="D7" s="21" t="n">
        <f aca="false">Crédits!D9*0.15</f>
        <v>81.75</v>
      </c>
      <c r="E7" s="21" t="n">
        <f aca="false">Crédits!E9*0.15</f>
        <v>93.3</v>
      </c>
      <c r="F7" s="21" t="n">
        <f aca="false">Crédits!F9*0.15</f>
        <v>105.75</v>
      </c>
    </row>
    <row r="8" customFormat="false" ht="15" hidden="false" customHeight="false" outlineLevel="0" collapsed="false">
      <c r="A8" s="10" t="s">
        <v>250</v>
      </c>
      <c r="B8" s="22" t="n">
        <f aca="false">Crédits!B9</f>
        <v>410</v>
      </c>
      <c r="C8" s="22" t="n">
        <f aca="false">Crédits!C9</f>
        <v>474</v>
      </c>
      <c r="D8" s="22" t="n">
        <f aca="false">Crédits!D9</f>
        <v>545</v>
      </c>
      <c r="E8" s="22" t="n">
        <f aca="false">Crédits!E9</f>
        <v>622</v>
      </c>
      <c r="F8" s="22" t="n">
        <f aca="false">Crédits!F9</f>
        <v>705</v>
      </c>
    </row>
    <row r="9" customFormat="false" ht="15" hidden="false" customHeight="false" outlineLevel="0" collapsed="false">
      <c r="A9" s="10" t="s">
        <v>251</v>
      </c>
      <c r="B9" s="22" t="n">
        <f aca="false">-'Coût risque'!B21</f>
        <v>-18.40525</v>
      </c>
      <c r="C9" s="22" t="n">
        <f aca="false">-'Coût risque'!C21</f>
        <v>-20.37378</v>
      </c>
      <c r="D9" s="22" t="n">
        <f aca="false">-'Coût risque'!D21</f>
        <v>-22.345495</v>
      </c>
      <c r="E9" s="22" t="n">
        <f aca="false">-'Coût risque'!E21</f>
        <v>-24.251375</v>
      </c>
      <c r="F9" s="22" t="n">
        <f aca="false">-'Coût risque'!F21</f>
        <v>-26.0473425</v>
      </c>
    </row>
    <row r="10" customFormat="false" ht="15" hidden="false" customHeight="false" outlineLevel="0" collapsed="false">
      <c r="A10" s="14" t="s">
        <v>252</v>
      </c>
      <c r="B10" s="15" t="n">
        <f aca="false">B8+B9</f>
        <v>391.59475</v>
      </c>
      <c r="C10" s="15" t="n">
        <f aca="false">C8+C9</f>
        <v>453.62622</v>
      </c>
      <c r="D10" s="15" t="n">
        <f aca="false">D8+D9</f>
        <v>522.654505</v>
      </c>
      <c r="E10" s="15" t="n">
        <f aca="false">E8+E9</f>
        <v>597.748625</v>
      </c>
      <c r="F10" s="15" t="n">
        <f aca="false">F8+F9</f>
        <v>678.9526575</v>
      </c>
    </row>
    <row r="11" customFormat="false" ht="15" hidden="false" customHeight="false" outlineLevel="0" collapsed="false">
      <c r="A11" s="10" t="s">
        <v>253</v>
      </c>
      <c r="B11" s="13" t="n">
        <v>18</v>
      </c>
      <c r="C11" s="13" t="n">
        <v>20</v>
      </c>
      <c r="D11" s="13" t="n">
        <v>22</v>
      </c>
      <c r="E11" s="13" t="n">
        <v>24</v>
      </c>
      <c r="F11" s="13" t="n">
        <v>26</v>
      </c>
    </row>
    <row r="12" customFormat="false" ht="15" hidden="false" customHeight="false" outlineLevel="0" collapsed="false">
      <c r="A12" s="10" t="s">
        <v>254</v>
      </c>
      <c r="B12" s="13" t="n">
        <v>10</v>
      </c>
      <c r="C12" s="13" t="n">
        <v>11</v>
      </c>
      <c r="D12" s="13" t="n">
        <v>12</v>
      </c>
      <c r="E12" s="13" t="n">
        <v>13</v>
      </c>
      <c r="F12" s="13" t="n">
        <v>14</v>
      </c>
    </row>
    <row r="13" customFormat="false" ht="15" hidden="false" customHeight="false" outlineLevel="0" collapsed="false">
      <c r="A13" s="14" t="s">
        <v>255</v>
      </c>
      <c r="B13" s="25" t="n">
        <f aca="false">B5+B6+B7+B10+B11+B12</f>
        <v>514.69475</v>
      </c>
      <c r="C13" s="25" t="n">
        <f aca="false">C5+C6+C7+C10+C11+C12</f>
        <v>594.51622</v>
      </c>
      <c r="D13" s="25" t="n">
        <f aca="false">D5+D6+D7+D10+D11+D12</f>
        <v>683.004505</v>
      </c>
      <c r="E13" s="25" t="n">
        <f aca="false">E5+E6+E7+E10+E11+E12</f>
        <v>779.068625</v>
      </c>
      <c r="F13" s="25" t="n">
        <f aca="false">F5+F6+F7+F10+F11+F12</f>
        <v>882.7026575</v>
      </c>
    </row>
    <row r="15" customFormat="false" ht="21.75" hidden="false" customHeight="true" outlineLevel="0" collapsed="false">
      <c r="A15" s="4" t="s">
        <v>256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89</v>
      </c>
      <c r="B16" s="22" t="n">
        <f aca="false">Dépôts!B5</f>
        <v>180</v>
      </c>
      <c r="C16" s="22" t="n">
        <f aca="false">Dépôts!C5</f>
        <v>207</v>
      </c>
      <c r="D16" s="22" t="n">
        <f aca="false">Dépôts!D5</f>
        <v>238</v>
      </c>
      <c r="E16" s="22" t="n">
        <f aca="false">Dépôts!E5</f>
        <v>274</v>
      </c>
      <c r="F16" s="22" t="n">
        <f aca="false">Dépôts!F5</f>
        <v>314</v>
      </c>
    </row>
    <row r="17" customFormat="false" ht="15" hidden="false" customHeight="false" outlineLevel="0" collapsed="false">
      <c r="A17" s="10" t="s">
        <v>165</v>
      </c>
      <c r="B17" s="22" t="n">
        <f aca="false">Dépôts!B6</f>
        <v>85</v>
      </c>
      <c r="C17" s="22" t="n">
        <f aca="false">Dépôts!C6</f>
        <v>95</v>
      </c>
      <c r="D17" s="22" t="n">
        <f aca="false">Dépôts!D6</f>
        <v>106</v>
      </c>
      <c r="E17" s="22" t="n">
        <f aca="false">Dépôts!E6</f>
        <v>119</v>
      </c>
      <c r="F17" s="22" t="n">
        <f aca="false">Dépôts!F6</f>
        <v>133</v>
      </c>
    </row>
    <row r="18" customFormat="false" ht="15" hidden="false" customHeight="false" outlineLevel="0" collapsed="false">
      <c r="A18" s="10" t="s">
        <v>92</v>
      </c>
      <c r="B18" s="22" t="n">
        <f aca="false">Dépôts!B7</f>
        <v>110</v>
      </c>
      <c r="C18" s="22" t="n">
        <f aca="false">Dépôts!C7</f>
        <v>122</v>
      </c>
      <c r="D18" s="22" t="n">
        <f aca="false">Dépôts!D7</f>
        <v>134</v>
      </c>
      <c r="E18" s="22" t="n">
        <f aca="false">Dépôts!E7</f>
        <v>147</v>
      </c>
      <c r="F18" s="22" t="n">
        <f aca="false">Dépôts!F7</f>
        <v>162</v>
      </c>
    </row>
    <row r="19" customFormat="false" ht="15" hidden="false" customHeight="false" outlineLevel="0" collapsed="false">
      <c r="A19" s="10" t="s">
        <v>93</v>
      </c>
      <c r="B19" s="22" t="n">
        <f aca="false">Dépôts!B8</f>
        <v>35</v>
      </c>
      <c r="C19" s="22" t="n">
        <f aca="false">Dépôts!C8</f>
        <v>38</v>
      </c>
      <c r="D19" s="22" t="n">
        <f aca="false">Dépôts!D8</f>
        <v>41</v>
      </c>
      <c r="E19" s="22" t="n">
        <f aca="false">Dépôts!E8</f>
        <v>45</v>
      </c>
      <c r="F19" s="22" t="n">
        <f aca="false">Dépôts!F8</f>
        <v>49</v>
      </c>
    </row>
    <row r="20" customFormat="false" ht="15" hidden="false" customHeight="false" outlineLevel="0" collapsed="false">
      <c r="A20" s="14" t="s">
        <v>94</v>
      </c>
      <c r="B20" s="15" t="n">
        <f aca="false">SUM(B16:B19)</f>
        <v>410</v>
      </c>
      <c r="C20" s="15" t="n">
        <f aca="false">SUM(C16:C19)</f>
        <v>462</v>
      </c>
      <c r="D20" s="15" t="n">
        <f aca="false">SUM(D16:D19)</f>
        <v>519</v>
      </c>
      <c r="E20" s="15" t="n">
        <f aca="false">SUM(E16:E19)</f>
        <v>585</v>
      </c>
      <c r="F20" s="15" t="n">
        <f aca="false">SUM(F16:F19)</f>
        <v>658</v>
      </c>
    </row>
    <row r="21" customFormat="false" ht="15" hidden="false" customHeight="false" outlineLevel="0" collapsed="false">
      <c r="A21" s="10" t="s">
        <v>257</v>
      </c>
      <c r="B21" s="13" t="n">
        <v>12</v>
      </c>
      <c r="C21" s="13" t="n">
        <v>14</v>
      </c>
      <c r="D21" s="13" t="n">
        <v>16</v>
      </c>
      <c r="E21" s="13" t="n">
        <v>18</v>
      </c>
      <c r="F21" s="13" t="n">
        <v>20</v>
      </c>
    </row>
    <row r="22" customFormat="false" ht="15" hidden="false" customHeight="false" outlineLevel="0" collapsed="false">
      <c r="A22" s="10" t="s">
        <v>258</v>
      </c>
      <c r="B22" s="13" t="n">
        <v>3</v>
      </c>
      <c r="C22" s="13" t="n">
        <v>3.2</v>
      </c>
      <c r="D22" s="13" t="n">
        <v>3.4</v>
      </c>
      <c r="E22" s="13" t="n">
        <v>3.6</v>
      </c>
      <c r="F22" s="13" t="n">
        <v>3.8</v>
      </c>
    </row>
    <row r="23" customFormat="false" ht="15" hidden="false" customHeight="false" outlineLevel="0" collapsed="false">
      <c r="A23" s="10" t="s">
        <v>259</v>
      </c>
      <c r="B23" s="22" t="n">
        <f aca="false">Hypothèses!B76</f>
        <v>50</v>
      </c>
      <c r="C23" s="22" t="n">
        <f aca="false">Hypothèses!C76</f>
        <v>50</v>
      </c>
      <c r="D23" s="22" t="n">
        <f aca="false">Hypothèses!D76</f>
        <v>50</v>
      </c>
      <c r="E23" s="22" t="n">
        <f aca="false">Hypothèses!E76</f>
        <v>60</v>
      </c>
      <c r="F23" s="22" t="n">
        <f aca="false">Hypothèses!F76</f>
        <v>60</v>
      </c>
    </row>
    <row r="24" customFormat="false" ht="15" hidden="false" customHeight="false" outlineLevel="0" collapsed="false">
      <c r="A24" s="10" t="s">
        <v>260</v>
      </c>
      <c r="B24" s="13" t="n">
        <v>15</v>
      </c>
      <c r="C24" s="21" t="n">
        <f aca="false">B24+P_L!B20*(1-Hypothèses!B81)</f>
        <v>12.9322</v>
      </c>
      <c r="D24" s="21" t="n">
        <f aca="false">C24+P_L!C20*(1-Hypothèses!C81)</f>
        <v>26.8627474</v>
      </c>
      <c r="E24" s="21" t="n">
        <f aca="false">D24+P_L!D20*(1-Hypothèses!D81)</f>
        <v>41.706820875</v>
      </c>
      <c r="F24" s="21" t="n">
        <f aca="false">E24+P_L!E20*(1-Hypothèses!E81)</f>
        <v>57.861025375</v>
      </c>
    </row>
    <row r="25" customFormat="false" ht="15" hidden="false" customHeight="false" outlineLevel="0" collapsed="false">
      <c r="A25" s="10" t="s">
        <v>261</v>
      </c>
      <c r="B25" s="22" t="n">
        <f aca="false">P_L!B20</f>
        <v>-2.954</v>
      </c>
      <c r="C25" s="22" t="n">
        <f aca="false">P_L!C20</f>
        <v>23.217579</v>
      </c>
      <c r="D25" s="22" t="n">
        <f aca="false">P_L!D20</f>
        <v>26.9892245</v>
      </c>
      <c r="E25" s="22" t="n">
        <f aca="false">P_L!E20</f>
        <v>32.308409</v>
      </c>
      <c r="F25" s="22" t="n">
        <f aca="false">P_L!F20</f>
        <v>36.43992275</v>
      </c>
    </row>
    <row r="26" customFormat="false" ht="15" hidden="false" customHeight="false" outlineLevel="0" collapsed="false">
      <c r="A26" s="14" t="s">
        <v>262</v>
      </c>
      <c r="B26" s="15" t="n">
        <f aca="false">B23+B24+B25</f>
        <v>62.046</v>
      </c>
      <c r="C26" s="15" t="n">
        <f aca="false">C23+C24+C25</f>
        <v>86.149779</v>
      </c>
      <c r="D26" s="15" t="n">
        <f aca="false">D23+D24+D25</f>
        <v>103.8519719</v>
      </c>
      <c r="E26" s="15" t="n">
        <f aca="false">E23+E24+E25</f>
        <v>134.015229875</v>
      </c>
      <c r="F26" s="15" t="n">
        <f aca="false">F23+F24+F25</f>
        <v>154.300948125</v>
      </c>
    </row>
    <row r="27" customFormat="false" ht="15" hidden="false" customHeight="false" outlineLevel="0" collapsed="false">
      <c r="A27" s="14" t="s">
        <v>263</v>
      </c>
      <c r="B27" s="25" t="n">
        <f aca="false">B20+B21+B22+B26</f>
        <v>487.046</v>
      </c>
      <c r="C27" s="25" t="n">
        <f aca="false">C20+C21+C22+C26</f>
        <v>565.349779</v>
      </c>
      <c r="D27" s="25" t="n">
        <f aca="false">D20+D21+D22+D26</f>
        <v>642.2519719</v>
      </c>
      <c r="E27" s="25" t="n">
        <f aca="false">E20+E21+E22+E26</f>
        <v>740.615229875</v>
      </c>
      <c r="F27" s="25" t="n">
        <f aca="false">F20+F21+F22+F26</f>
        <v>836.100948125</v>
      </c>
    </row>
    <row r="29" customFormat="false" ht="21.75" hidden="false" customHeight="true" outlineLevel="0" collapsed="false">
      <c r="A29" s="4" t="s">
        <v>264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14" t="s">
        <v>265</v>
      </c>
      <c r="B30" s="28" t="n">
        <f aca="false">B13-B27</f>
        <v>27.64875</v>
      </c>
      <c r="C30" s="28" t="n">
        <f aca="false">C13-C27</f>
        <v>29.166441</v>
      </c>
      <c r="D30" s="28" t="n">
        <f aca="false">D13-D27</f>
        <v>40.7525331000001</v>
      </c>
      <c r="E30" s="28" t="n">
        <f aca="false">E13-E27</f>
        <v>38.4533951249998</v>
      </c>
      <c r="F30" s="28" t="n">
        <f aca="false">F13-F27</f>
        <v>46.601709375</v>
      </c>
    </row>
  </sheetData>
  <mergeCells count="4">
    <mergeCell ref="A1:H1"/>
    <mergeCell ref="A4:H4"/>
    <mergeCell ref="A15:H15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267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268</v>
      </c>
      <c r="B5" s="21" t="n">
        <f aca="false">Hypothèses!B22*Hypothèses!B77</f>
        <v>63.75</v>
      </c>
      <c r="C5" s="21" t="n">
        <f aca="false">Hypothèses!C22*Hypothèses!C77</f>
        <v>76.5</v>
      </c>
      <c r="D5" s="21" t="n">
        <f aca="false">Hypothèses!D22*Hypothèses!D77</f>
        <v>91.5</v>
      </c>
      <c r="E5" s="21" t="n">
        <f aca="false">Hypothèses!E22*Hypothèses!E77</f>
        <v>108</v>
      </c>
      <c r="F5" s="21" t="n">
        <f aca="false">Hypothèses!F22*Hypothèses!F77</f>
        <v>126</v>
      </c>
    </row>
    <row r="6" customFormat="false" ht="15" hidden="false" customHeight="false" outlineLevel="0" collapsed="false">
      <c r="A6" s="10" t="s">
        <v>269</v>
      </c>
      <c r="B6" s="21" t="n">
        <f aca="false">Hypothèses!B23*Hypothèses!B78</f>
        <v>120</v>
      </c>
      <c r="C6" s="21" t="n">
        <f aca="false">Hypothèses!C23*Hypothèses!C78</f>
        <v>144</v>
      </c>
      <c r="D6" s="21" t="n">
        <f aca="false">Hypothèses!D23*Hypothèses!D78</f>
        <v>170</v>
      </c>
      <c r="E6" s="21" t="n">
        <f aca="false">Hypothèses!E23*Hypothèses!E78</f>
        <v>198</v>
      </c>
      <c r="F6" s="21" t="n">
        <f aca="false">Hypothèses!F23*Hypothèses!F78</f>
        <v>228</v>
      </c>
    </row>
    <row r="7" customFormat="false" ht="15" hidden="false" customHeight="false" outlineLevel="0" collapsed="false">
      <c r="A7" s="10" t="s">
        <v>270</v>
      </c>
      <c r="B7" s="21" t="n">
        <f aca="false">Hypothèses!B24*Hypothèses!B79</f>
        <v>180</v>
      </c>
      <c r="C7" s="21" t="n">
        <f aca="false">Hypothèses!C24*Hypothèses!C79</f>
        <v>198</v>
      </c>
      <c r="D7" s="21" t="n">
        <f aca="false">Hypothèses!D24*Hypothèses!D79</f>
        <v>217</v>
      </c>
      <c r="E7" s="21" t="n">
        <f aca="false">Hypothèses!E24*Hypothèses!E79</f>
        <v>238</v>
      </c>
      <c r="F7" s="21" t="n">
        <f aca="false">Hypothèses!F24*Hypothèses!F79</f>
        <v>261</v>
      </c>
    </row>
    <row r="8" customFormat="false" ht="15" hidden="false" customHeight="false" outlineLevel="0" collapsed="false">
      <c r="A8" s="10" t="s">
        <v>271</v>
      </c>
      <c r="B8" s="21" t="n">
        <f aca="false">(Bilan!B13-Crédits!B9)*Hypothèses!B80</f>
        <v>31.408425</v>
      </c>
      <c r="C8" s="21" t="n">
        <f aca="false">(Bilan!C13-Crédits!C9)*Hypothèses!C80</f>
        <v>36.154866</v>
      </c>
      <c r="D8" s="21" t="n">
        <f aca="false">(Bilan!D13-Crédits!D9)*Hypothèses!D80</f>
        <v>41.4013515</v>
      </c>
      <c r="E8" s="21" t="n">
        <f aca="false">(Bilan!E13-Crédits!E9)*Hypothèses!E80</f>
        <v>47.1205875</v>
      </c>
      <c r="F8" s="21" t="n">
        <f aca="false">(Bilan!F13-Crédits!F9)*Hypothèses!F80</f>
        <v>53.31079725</v>
      </c>
    </row>
    <row r="9" customFormat="false" ht="15" hidden="false" customHeight="false" outlineLevel="0" collapsed="false">
      <c r="A9" s="14" t="s">
        <v>272</v>
      </c>
      <c r="B9" s="15" t="n">
        <f aca="false">SUM(B5:B8)</f>
        <v>395.158425</v>
      </c>
      <c r="C9" s="15" t="n">
        <f aca="false">SUM(C5:C8)</f>
        <v>454.654866</v>
      </c>
      <c r="D9" s="15" t="n">
        <f aca="false">SUM(D5:D8)</f>
        <v>519.9013515</v>
      </c>
      <c r="E9" s="15" t="n">
        <f aca="false">SUM(E5:E8)</f>
        <v>591.1205875</v>
      </c>
      <c r="F9" s="15" t="n">
        <f aca="false">SUM(F5:F8)</f>
        <v>668.31079725</v>
      </c>
    </row>
    <row r="11" customFormat="false" ht="21.75" hidden="false" customHeight="true" outlineLevel="0" collapsed="false">
      <c r="A11" s="4" t="s">
        <v>273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274</v>
      </c>
      <c r="B12" s="22" t="n">
        <f aca="false">Bilan!B26</f>
        <v>62.046</v>
      </c>
      <c r="C12" s="22" t="n">
        <f aca="false">Bilan!C26</f>
        <v>86.149779</v>
      </c>
      <c r="D12" s="22" t="n">
        <f aca="false">Bilan!D26</f>
        <v>103.8519719</v>
      </c>
      <c r="E12" s="22" t="n">
        <f aca="false">Bilan!E26</f>
        <v>134.015229875</v>
      </c>
      <c r="F12" s="22" t="n">
        <f aca="false">Bilan!F26</f>
        <v>154.300948125</v>
      </c>
    </row>
    <row r="13" customFormat="false" ht="15" hidden="false" customHeight="false" outlineLevel="0" collapsed="false">
      <c r="A13" s="14" t="s">
        <v>275</v>
      </c>
      <c r="B13" s="28" t="n">
        <f aca="false">B12</f>
        <v>62.046</v>
      </c>
      <c r="C13" s="28" t="n">
        <f aca="false">C12</f>
        <v>86.149779</v>
      </c>
      <c r="D13" s="28" t="n">
        <f aca="false">D12</f>
        <v>103.8519719</v>
      </c>
      <c r="E13" s="28" t="n">
        <f aca="false">E12</f>
        <v>134.015229875</v>
      </c>
      <c r="F13" s="28" t="n">
        <f aca="false">F12</f>
        <v>154.300948125</v>
      </c>
    </row>
    <row r="15" customFormat="false" ht="21.75" hidden="false" customHeight="true" outlineLevel="0" collapsed="false">
      <c r="A15" s="4" t="s">
        <v>276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4" t="s">
        <v>277</v>
      </c>
      <c r="B16" s="24" t="n">
        <f aca="false">IFERROR(B12/B9,0)</f>
        <v>0.157015505869576</v>
      </c>
      <c r="C16" s="24" t="n">
        <f aca="false">IFERROR(C12/C9,0)</f>
        <v>0.189483904038982</v>
      </c>
      <c r="D16" s="24" t="n">
        <f aca="false">IFERROR(D12/D9,0)</f>
        <v>0.199753225492433</v>
      </c>
      <c r="E16" s="24" t="n">
        <f aca="false">IFERROR(E12/E9,0)</f>
        <v>0.226713859589605</v>
      </c>
      <c r="F16" s="24" t="n">
        <f aca="false">IFERROR(F12/F9,0)</f>
        <v>0.230882021897485</v>
      </c>
    </row>
    <row r="17" customFormat="false" ht="15" hidden="false" customHeight="false" outlineLevel="0" collapsed="false">
      <c r="A17" s="29" t="s">
        <v>278</v>
      </c>
      <c r="B17" s="11" t="n">
        <v>0.085</v>
      </c>
      <c r="C17" s="11" t="n">
        <v>0.085</v>
      </c>
      <c r="D17" s="11" t="n">
        <v>0.085</v>
      </c>
      <c r="E17" s="11" t="n">
        <v>0.085</v>
      </c>
      <c r="F17" s="11" t="n">
        <v>0.085</v>
      </c>
    </row>
    <row r="18" customFormat="false" ht="15" hidden="false" customHeight="false" outlineLevel="0" collapsed="false">
      <c r="A18" s="14" t="s">
        <v>279</v>
      </c>
      <c r="B18" s="24" t="n">
        <f aca="false">IFERROR(B13/B9,0)</f>
        <v>0.157015505869576</v>
      </c>
      <c r="C18" s="24" t="n">
        <f aca="false">IFERROR(C13/C9,0)</f>
        <v>0.189483904038982</v>
      </c>
      <c r="D18" s="24" t="n">
        <f aca="false">IFERROR(D13/D9,0)</f>
        <v>0.199753225492433</v>
      </c>
      <c r="E18" s="24" t="n">
        <f aca="false">IFERROR(E13/E9,0)</f>
        <v>0.226713859589605</v>
      </c>
      <c r="F18" s="24" t="n">
        <f aca="false">IFERROR(F13/F9,0)</f>
        <v>0.230882021897485</v>
      </c>
    </row>
    <row r="19" customFormat="false" ht="15" hidden="false" customHeight="false" outlineLevel="0" collapsed="false">
      <c r="A19" s="29" t="s">
        <v>280</v>
      </c>
      <c r="B19" s="11" t="n">
        <v>0.115</v>
      </c>
      <c r="C19" s="11" t="n">
        <v>0.115</v>
      </c>
      <c r="D19" s="11" t="n">
        <v>0.115</v>
      </c>
      <c r="E19" s="11" t="n">
        <v>0.115</v>
      </c>
      <c r="F19" s="11" t="n">
        <v>0.115</v>
      </c>
    </row>
    <row r="21" customFormat="false" ht="21.75" hidden="false" customHeight="true" outlineLevel="0" collapsed="false">
      <c r="A21" s="4" t="s">
        <v>281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4" t="s">
        <v>282</v>
      </c>
      <c r="B22" s="24" t="n">
        <f aca="false">IFERROR(B12/Bilan!B13,0)</f>
        <v>0.120549121591001</v>
      </c>
      <c r="C22" s="24" t="n">
        <f aca="false">IFERROR(C12/Bilan!C13,0)</f>
        <v>0.144907365185091</v>
      </c>
      <c r="D22" s="24" t="n">
        <f aca="false">IFERROR(D12/Bilan!D13,0)</f>
        <v>0.152051664578698</v>
      </c>
      <c r="E22" s="24" t="n">
        <f aca="false">IFERROR(E12/Bilan!E13,0)</f>
        <v>0.172019801047693</v>
      </c>
      <c r="F22" s="24" t="n">
        <f aca="false">IFERROR(F12/Bilan!F13,0)</f>
        <v>0.174805124708713</v>
      </c>
    </row>
    <row r="23" customFormat="false" ht="15" hidden="false" customHeight="false" outlineLevel="0" collapsed="false">
      <c r="A23" s="29" t="s">
        <v>283</v>
      </c>
      <c r="B23" s="11" t="n">
        <v>0.03</v>
      </c>
      <c r="C23" s="11" t="n">
        <v>0.03</v>
      </c>
      <c r="D23" s="11" t="n">
        <v>0.03</v>
      </c>
      <c r="E23" s="11" t="n">
        <v>0.03</v>
      </c>
      <c r="F23" s="11" t="n">
        <v>0.03</v>
      </c>
    </row>
    <row r="25" customFormat="false" ht="21.75" hidden="false" customHeight="true" outlineLevel="0" collapsed="false">
      <c r="A25" s="4" t="s">
        <v>284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10" t="s">
        <v>285</v>
      </c>
      <c r="B26" s="20" t="n">
        <f aca="false">IFERROR((Bilan!B5+Bilan!B7*0.8)/(Bilan!B16*0.25+Bilan!B18*0.1),0)</f>
        <v>1.03928571428571</v>
      </c>
      <c r="C26" s="20" t="n">
        <f aca="false">IFERROR((Bilan!C5+Bilan!C7*0.8)/(Bilan!C16*0.25+Bilan!C18*0.1),0)</f>
        <v>1.05129007036747</v>
      </c>
      <c r="D26" s="20" t="n">
        <f aca="false">IFERROR((Bilan!D5+Bilan!D7*0.8)/(Bilan!D16*0.25+Bilan!D18*0.1),0)</f>
        <v>1.06035665294925</v>
      </c>
      <c r="E26" s="20" t="n">
        <f aca="false">IFERROR((Bilan!E5+Bilan!E7*0.8)/(Bilan!E16*0.25+Bilan!E18*0.1),0)</f>
        <v>1.06177884615385</v>
      </c>
      <c r="F26" s="20" t="n">
        <f aca="false">IFERROR((Bilan!F5+Bilan!F7*0.8)/(Bilan!F16*0.25+Bilan!F18*0.1),0)</f>
        <v>1.05913410770855</v>
      </c>
    </row>
    <row r="27" customFormat="false" ht="15" hidden="false" customHeight="false" outlineLevel="0" collapsed="false">
      <c r="A27" s="10" t="s">
        <v>286</v>
      </c>
      <c r="B27" s="20" t="n">
        <f aca="false">IFERROR((Bilan!B16*0.5+Bilan!B18*0.95+Bilan!B26)/(Bilan!B10*0.65),0)</f>
        <v>1.00789439553557</v>
      </c>
      <c r="C27" s="20" t="n">
        <f aca="false">IFERROR((Bilan!C16*0.5+Bilan!C18*0.95+Bilan!C26)/(Bilan!C10*0.65),0)</f>
        <v>1.03626413631232</v>
      </c>
      <c r="D27" s="20" t="n">
        <f aca="false">IFERROR((Bilan!D16*0.5+Bilan!D18*0.95+Bilan!D26)/(Bilan!D10*0.65),0)</f>
        <v>1.03069108987134</v>
      </c>
      <c r="E27" s="20" t="n">
        <f aca="false">IFERROR((Bilan!E16*0.5+Bilan!E18*0.95+Bilan!E26)/(Bilan!E10*0.65),0)</f>
        <v>1.05695376772494</v>
      </c>
      <c r="F27" s="20" t="n">
        <f aca="false">IFERROR((Bilan!F16*0.5+Bilan!F18*0.95+Bilan!F26)/(Bilan!F10*0.65),0)</f>
        <v>1.05411438992144</v>
      </c>
    </row>
    <row r="28" customFormat="false" ht="15" hidden="false" customHeight="false" outlineLevel="0" collapsed="false">
      <c r="A28" s="14" t="s">
        <v>287</v>
      </c>
      <c r="B28" s="26" t="n">
        <f aca="false">IFERROR(Bilan!B10/Bilan!B20,0)</f>
        <v>0.955109146341463</v>
      </c>
      <c r="C28" s="26" t="n">
        <f aca="false">IFERROR(Bilan!C10/Bilan!C20,0)</f>
        <v>0.981874935064935</v>
      </c>
      <c r="D28" s="26" t="n">
        <f aca="false">IFERROR(Bilan!D10/Bilan!D20,0)</f>
        <v>1.00704143545279</v>
      </c>
      <c r="E28" s="26" t="n">
        <f aca="false">IFERROR(Bilan!E10/Bilan!E20,0)</f>
        <v>1.02179252136752</v>
      </c>
      <c r="F28" s="26" t="n">
        <f aca="false">IFERROR(Bilan!F10/Bilan!F20,0)</f>
        <v>1.03184294452888</v>
      </c>
    </row>
  </sheetData>
  <mergeCells count="6">
    <mergeCell ref="A1:H1"/>
    <mergeCell ref="A4:H4"/>
    <mergeCell ref="A11:H11"/>
    <mergeCell ref="A15:H15"/>
    <mergeCell ref="A21:H21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288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289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4" t="s">
        <v>290</v>
      </c>
      <c r="B5" s="22" t="n">
        <f aca="false">P_L!B5</f>
        <v>30.02625</v>
      </c>
      <c r="C5" s="22" t="n">
        <f aca="false">P_L!C5</f>
        <v>51.2205</v>
      </c>
      <c r="D5" s="22" t="n">
        <f aca="false">P_L!D5</f>
        <v>58.13875</v>
      </c>
      <c r="E5" s="22" t="n">
        <f aca="false">P_L!E5</f>
        <v>67.21675</v>
      </c>
      <c r="F5" s="22" t="n">
        <f aca="false">P_L!F5</f>
        <v>74.672</v>
      </c>
    </row>
    <row r="6" customFormat="false" ht="15" hidden="false" customHeight="false" outlineLevel="0" collapsed="false">
      <c r="A6" s="14" t="s">
        <v>291</v>
      </c>
      <c r="B6" s="22" t="n">
        <f aca="false">P_L!B11</f>
        <v>15.45125</v>
      </c>
      <c r="C6" s="22" t="n">
        <f aca="false">P_L!C11</f>
        <v>35.1365</v>
      </c>
      <c r="D6" s="22" t="n">
        <f aca="false">P_L!D11</f>
        <v>40.52775</v>
      </c>
      <c r="E6" s="22" t="n">
        <f aca="false">P_L!E11</f>
        <v>48.06075</v>
      </c>
      <c r="F6" s="22" t="n">
        <f aca="false">P_L!F11</f>
        <v>53.853</v>
      </c>
    </row>
    <row r="7" customFormat="false" ht="15" hidden="false" customHeight="false" outlineLevel="0" collapsed="false">
      <c r="A7" s="14" t="s">
        <v>292</v>
      </c>
      <c r="B7" s="22" t="n">
        <f aca="false">P_L!B20</f>
        <v>-2.954</v>
      </c>
      <c r="C7" s="22" t="n">
        <f aca="false">P_L!C20</f>
        <v>23.217579</v>
      </c>
      <c r="D7" s="22" t="n">
        <f aca="false">P_L!D20</f>
        <v>26.9892245</v>
      </c>
      <c r="E7" s="22" t="n">
        <f aca="false">P_L!E20</f>
        <v>32.308409</v>
      </c>
      <c r="F7" s="22" t="n">
        <f aca="false">P_L!F20</f>
        <v>36.43992275</v>
      </c>
    </row>
    <row r="8" customFormat="false" ht="15" hidden="false" customHeight="false" outlineLevel="0" collapsed="false">
      <c r="A8" s="10" t="s">
        <v>195</v>
      </c>
      <c r="B8" s="19" t="s">
        <v>142</v>
      </c>
      <c r="C8" s="20" t="n">
        <f aca="false">IFERROR(P_L!C5/P_L!B5-1,0)</f>
        <v>0.705857374797053</v>
      </c>
      <c r="D8" s="20" t="n">
        <f aca="false">IFERROR(P_L!D5/P_L!C5-1,0)</f>
        <v>0.135067990355424</v>
      </c>
      <c r="E8" s="20" t="n">
        <f aca="false">IFERROR(P_L!E5/P_L!D5-1,0)</f>
        <v>0.156143707940057</v>
      </c>
      <c r="F8" s="20" t="n">
        <f aca="false">IFERROR(P_L!F5/P_L!E5-1,0)</f>
        <v>0.110913574369484</v>
      </c>
    </row>
    <row r="9" customFormat="false" ht="15" hidden="false" customHeight="false" outlineLevel="0" collapsed="false">
      <c r="A9" s="10" t="s">
        <v>293</v>
      </c>
      <c r="B9" s="19" t="s">
        <v>142</v>
      </c>
      <c r="C9" s="20" t="n">
        <f aca="false">IFERROR(P_L!C20/P_L!B20-1,0)</f>
        <v>-8.85970853080569</v>
      </c>
      <c r="D9" s="20" t="n">
        <f aca="false">IFERROR(P_L!D20/P_L!C20-1,0)</f>
        <v>0.162447837476939</v>
      </c>
      <c r="E9" s="20" t="n">
        <f aca="false">IFERROR(P_L!E20/P_L!D20-1,0)</f>
        <v>0.197085488691978</v>
      </c>
      <c r="F9" s="20" t="n">
        <f aca="false">IFERROR(P_L!F20/P_L!E20-1,0)</f>
        <v>0.127877350754103</v>
      </c>
    </row>
    <row r="11" customFormat="false" ht="21.75" hidden="false" customHeight="true" outlineLevel="0" collapsed="false">
      <c r="A11" s="4" t="s">
        <v>294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4" t="s">
        <v>295</v>
      </c>
      <c r="B12" s="26" t="n">
        <f aca="false">IFERROR(P_L!B20/Bilan!B26,0)</f>
        <v>-0.0476098378622312</v>
      </c>
      <c r="C12" s="26" t="n">
        <f aca="false">IFERROR(P_L!C20/((Bilan!B26+Bilan!C26)/2),0)</f>
        <v>0.313336576205723</v>
      </c>
      <c r="D12" s="26" t="n">
        <f aca="false">IFERROR(P_L!D20/((Bilan!C26+Bilan!D26)/2),0)</f>
        <v>0.284094481994587</v>
      </c>
      <c r="E12" s="26" t="n">
        <f aca="false">IFERROR(P_L!E20/((Bilan!D26+Bilan!E26)/2),0)</f>
        <v>0.271650809854489</v>
      </c>
      <c r="F12" s="26" t="n">
        <f aca="false">IFERROR(P_L!F20/((Bilan!E26+Bilan!F26)/2),0)</f>
        <v>0.252777509765685</v>
      </c>
    </row>
    <row r="13" customFormat="false" ht="15" hidden="false" customHeight="false" outlineLevel="0" collapsed="false">
      <c r="A13" s="14" t="s">
        <v>296</v>
      </c>
      <c r="B13" s="27" t="n">
        <f aca="false">IFERROR(P_L!B20/Bilan!B13,0)</f>
        <v>-0.00573932413338197</v>
      </c>
      <c r="C13" s="27" t="n">
        <f aca="false">IFERROR(P_L!C20/((Bilan!B13+Bilan!C13)/2),0)</f>
        <v>0.0418632336461656</v>
      </c>
      <c r="D13" s="27" t="n">
        <f aca="false">IFERROR(P_L!D20/((Bilan!C13+Bilan!D13)/2),0)</f>
        <v>0.0422525035748442</v>
      </c>
      <c r="E13" s="27" t="n">
        <f aca="false">IFERROR(P_L!E20/((Bilan!D13+Bilan!E13)/2),0)</f>
        <v>0.0441953392577565</v>
      </c>
      <c r="F13" s="27" t="n">
        <f aca="false">IFERROR(P_L!F20/((Bilan!E13+Bilan!F13)/2),0)</f>
        <v>0.0438567246091521</v>
      </c>
    </row>
    <row r="14" customFormat="false" ht="15" hidden="false" customHeight="false" outlineLevel="0" collapsed="false">
      <c r="A14" s="10" t="s">
        <v>297</v>
      </c>
      <c r="B14" s="30" t="n">
        <f aca="false">IFERROR(PNB!B7/Crédits!B9,0)</f>
        <v>0.0395762195121951</v>
      </c>
      <c r="C14" s="30" t="n">
        <f aca="false">IFERROR(PNB!C7/Crédits!C9,0)</f>
        <v>0.0747267932489452</v>
      </c>
      <c r="D14" s="30" t="n">
        <f aca="false">IFERROR(PNB!D7/Crédits!D9,0)</f>
        <v>0.0734655963302752</v>
      </c>
      <c r="E14" s="30" t="n">
        <f aca="false">IFERROR(PNB!E7/Crédits!E9,0)</f>
        <v>0.0751073151125402</v>
      </c>
      <c r="F14" s="30" t="n">
        <f aca="false">IFERROR(PNB!F7/Crédits!F9,0)</f>
        <v>0.0731517730496454</v>
      </c>
    </row>
    <row r="16" customFormat="false" ht="21.75" hidden="false" customHeight="true" outlineLevel="0" collapsed="false">
      <c r="A16" s="4" t="s">
        <v>298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4" t="s">
        <v>243</v>
      </c>
      <c r="B17" s="26" t="n">
        <f aca="false">IFERROR(Charges!B19/PNB!B18,0)</f>
        <v>0.485408600807627</v>
      </c>
      <c r="C17" s="26" t="n">
        <f aca="false">IFERROR(Charges!C19/PNB!C18,0)</f>
        <v>0.314014896379379</v>
      </c>
      <c r="D17" s="26" t="n">
        <f aca="false">IFERROR(Charges!D19/PNB!D18,0)</f>
        <v>0.302913289329406</v>
      </c>
      <c r="E17" s="26" t="n">
        <f aca="false">IFERROR(Charges!E19/PNB!E18,0)</f>
        <v>0.284988488732347</v>
      </c>
      <c r="F17" s="26" t="n">
        <f aca="false">IFERROR(Charges!F19/PNB!F18,0)</f>
        <v>0.278805978144418</v>
      </c>
    </row>
    <row r="18" customFormat="false" ht="15" hidden="false" customHeight="false" outlineLevel="0" collapsed="false">
      <c r="A18" s="10" t="s">
        <v>207</v>
      </c>
      <c r="B18" s="21" t="n">
        <f aca="false">IFERROR(PNB!B18*1000/Hypothèses!B18,0)</f>
        <v>85.7892857142857</v>
      </c>
      <c r="C18" s="21" t="n">
        <f aca="false">IFERROR(PNB!C18*1000/Hypothèses!C18,0)</f>
        <v>134.790789473684</v>
      </c>
      <c r="D18" s="21" t="n">
        <f aca="false">IFERROR(PNB!D18*1000/Hypothèses!D18,0)</f>
        <v>141.801829268293</v>
      </c>
      <c r="E18" s="21" t="n">
        <f aca="false">IFERROR(PNB!E18*1000/Hypothèses!E18,0)</f>
        <v>152.765340909091</v>
      </c>
      <c r="F18" s="21" t="n">
        <f aca="false">IFERROR(PNB!F18*1000/Hypothèses!F18,0)</f>
        <v>158.876595744681</v>
      </c>
    </row>
    <row r="19" customFormat="false" ht="15" hidden="false" customHeight="false" outlineLevel="0" collapsed="false">
      <c r="A19" s="10" t="s">
        <v>299</v>
      </c>
      <c r="B19" s="21" t="n">
        <f aca="false">IFERROR(PNB!B18/Hypothèses!B13,0)</f>
        <v>1.20105</v>
      </c>
      <c r="C19" s="21" t="n">
        <f aca="false">IFERROR(PNB!C18/Hypothèses!C13,0)</f>
        <v>1.82930357142857</v>
      </c>
      <c r="D19" s="21" t="n">
        <f aca="false">IFERROR(PNB!D18/Hypothèses!D13,0)</f>
        <v>1.8168359375</v>
      </c>
      <c r="E19" s="21" t="n">
        <f aca="false">IFERROR(PNB!E18/Hypothèses!E13,0)</f>
        <v>1.92047857142857</v>
      </c>
      <c r="F19" s="21" t="n">
        <f aca="false">IFERROR(PNB!F18/Hypothèses!F13,0)</f>
        <v>1.96505263157895</v>
      </c>
    </row>
    <row r="21" customFormat="false" ht="21.75" hidden="false" customHeight="true" outlineLevel="0" collapsed="false">
      <c r="A21" s="4" t="s">
        <v>300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4" t="s">
        <v>301</v>
      </c>
      <c r="B22" s="26" t="n">
        <f aca="false">IFERROR('Coût risque'!B8/Crédits!B9,0)</f>
        <v>0.0707317073170732</v>
      </c>
      <c r="C22" s="26" t="n">
        <f aca="false">IFERROR('Coût risque'!C8/Crédits!C9,0)</f>
        <v>0.0668354430379747</v>
      </c>
      <c r="D22" s="26" t="n">
        <f aca="false">IFERROR('Coût risque'!D8/Crédits!D9,0)</f>
        <v>0.0627889908256881</v>
      </c>
      <c r="E22" s="26" t="n">
        <f aca="false">IFERROR('Coût risque'!E8/Crédits!E9,0)</f>
        <v>0.0586816720257235</v>
      </c>
      <c r="F22" s="26" t="n">
        <f aca="false">IFERROR('Coût risque'!F8/Crédits!F9,0)</f>
        <v>0.0545106382978723</v>
      </c>
    </row>
    <row r="23" customFormat="false" ht="15" hidden="false" customHeight="false" outlineLevel="0" collapsed="false">
      <c r="A23" s="10" t="s">
        <v>302</v>
      </c>
      <c r="B23" s="20" t="n">
        <f aca="false">IFERROR('Coût risque'!B21/'Coût risque'!B8,0)</f>
        <v>0.634663793103448</v>
      </c>
      <c r="C23" s="20" t="n">
        <f aca="false">IFERROR('Coût risque'!C21/'Coût risque'!C8,0)</f>
        <v>0.643111742424242</v>
      </c>
      <c r="D23" s="20" t="n">
        <f aca="false">IFERROR('Coût risque'!D21/'Coût risque'!D8,0)</f>
        <v>0.652995178258328</v>
      </c>
      <c r="E23" s="20" t="n">
        <f aca="false">IFERROR('Coût risque'!E21/'Coût risque'!E8,0)</f>
        <v>0.664421232876712</v>
      </c>
      <c r="F23" s="20" t="n">
        <f aca="false">IFERROR('Coût risque'!F21/'Coût risque'!F8,0)</f>
        <v>0.67778669008587</v>
      </c>
    </row>
    <row r="24" customFormat="false" ht="15" hidden="false" customHeight="false" outlineLevel="0" collapsed="false">
      <c r="A24" s="10" t="s">
        <v>303</v>
      </c>
      <c r="B24" s="31" t="n">
        <f aca="false">IFERROR('Coût risque'!B24/Crédits!B9*10000,0)</f>
        <v>448.908536585366</v>
      </c>
      <c r="C24" s="31" t="n">
        <f aca="false">IFERROR('Coût risque'!C24/Crédits!C9*10000,0)</f>
        <v>41.5301687763713</v>
      </c>
      <c r="D24" s="31" t="n">
        <f aca="false">IFERROR('Coût risque'!D24/Crédits!D9*10000,0)</f>
        <v>36.1782568807339</v>
      </c>
      <c r="E24" s="31" t="n">
        <f aca="false">IFERROR('Coût risque'!E24/Crédits!E9*10000,0)</f>
        <v>30.6411575562701</v>
      </c>
      <c r="F24" s="31" t="n">
        <f aca="false">IFERROR('Coût risque'!F24/Crédits!F9*10000,0)</f>
        <v>25.4747163120567</v>
      </c>
    </row>
    <row r="26" customFormat="false" ht="21.75" hidden="false" customHeight="true" outlineLevel="0" collapsed="false">
      <c r="A26" s="4" t="s">
        <v>304</v>
      </c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14" t="s">
        <v>277</v>
      </c>
      <c r="B27" s="32" t="n">
        <f aca="false">'Ratios prudentiels'!B16</f>
        <v>0.157015505869576</v>
      </c>
      <c r="C27" s="32" t="n">
        <f aca="false">'Ratios prudentiels'!C16</f>
        <v>0.189483904038982</v>
      </c>
      <c r="D27" s="32" t="n">
        <f aca="false">'Ratios prudentiels'!D16</f>
        <v>0.199753225492433</v>
      </c>
      <c r="E27" s="32" t="n">
        <f aca="false">'Ratios prudentiels'!E16</f>
        <v>0.226713859589605</v>
      </c>
      <c r="F27" s="32" t="n">
        <f aca="false">'Ratios prudentiels'!F16</f>
        <v>0.230882021897485</v>
      </c>
    </row>
    <row r="28" customFormat="false" ht="15" hidden="false" customHeight="false" outlineLevel="0" collapsed="false">
      <c r="A28" s="14" t="s">
        <v>305</v>
      </c>
      <c r="B28" s="32" t="n">
        <f aca="false">'Ratios prudentiels'!B18</f>
        <v>0.157015505869576</v>
      </c>
      <c r="C28" s="32" t="n">
        <f aca="false">'Ratios prudentiels'!C18</f>
        <v>0.189483904038982</v>
      </c>
      <c r="D28" s="32" t="n">
        <f aca="false">'Ratios prudentiels'!D18</f>
        <v>0.199753225492433</v>
      </c>
      <c r="E28" s="32" t="n">
        <f aca="false">'Ratios prudentiels'!E18</f>
        <v>0.226713859589605</v>
      </c>
      <c r="F28" s="32" t="n">
        <f aca="false">'Ratios prudentiels'!F18</f>
        <v>0.230882021897485</v>
      </c>
    </row>
    <row r="30" customFormat="false" ht="21.75" hidden="false" customHeight="true" outlineLevel="0" collapsed="false">
      <c r="A30" s="4" t="s">
        <v>306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10" t="s">
        <v>307</v>
      </c>
      <c r="B31" s="19" t="s">
        <v>142</v>
      </c>
      <c r="C31" s="20" t="n">
        <f aca="false">IFERROR(Crédits!C9/Crédits!B9-1,0)</f>
        <v>0.15609756097561</v>
      </c>
      <c r="D31" s="20" t="n">
        <f aca="false">IFERROR(Crédits!D9/Crédits!C9-1,0)</f>
        <v>0.149789029535865</v>
      </c>
      <c r="E31" s="20" t="n">
        <f aca="false">IFERROR(Crédits!E9/Crédits!D9-1,0)</f>
        <v>0.141284403669725</v>
      </c>
      <c r="F31" s="20" t="n">
        <f aca="false">IFERROR(Crédits!F9/Crédits!E9-1,0)</f>
        <v>0.133440514469454</v>
      </c>
    </row>
    <row r="32" customFormat="false" ht="15" hidden="false" customHeight="false" outlineLevel="0" collapsed="false">
      <c r="A32" s="10" t="s">
        <v>308</v>
      </c>
      <c r="B32" s="19" t="s">
        <v>142</v>
      </c>
      <c r="C32" s="20" t="n">
        <f aca="false">IFERROR(Dépôts!C9/Dépôts!B9-1,0)</f>
        <v>0.126829268292683</v>
      </c>
      <c r="D32" s="20" t="n">
        <f aca="false">IFERROR(Dépôts!D9/Dépôts!C9-1,0)</f>
        <v>0.123376623376623</v>
      </c>
      <c r="E32" s="20" t="n">
        <f aca="false">IFERROR(Dépôts!E9/Dépôts!D9-1,0)</f>
        <v>0.127167630057804</v>
      </c>
      <c r="F32" s="20" t="n">
        <f aca="false">IFERROR(Dépôts!F9/Dépôts!E9-1,0)</f>
        <v>0.124786324786325</v>
      </c>
    </row>
  </sheetData>
  <mergeCells count="7">
    <mergeCell ref="A1:H1"/>
    <mergeCell ref="A4:H4"/>
    <mergeCell ref="A11:H11"/>
    <mergeCell ref="A16:H16"/>
    <mergeCell ref="A21:H21"/>
    <mergeCell ref="A26:H26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309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310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311</v>
      </c>
      <c r="B5" s="22" t="n">
        <f aca="false">P_L!B5</f>
        <v>30.02625</v>
      </c>
      <c r="C5" s="22" t="n">
        <f aca="false">P_L!C5</f>
        <v>51.2205</v>
      </c>
      <c r="D5" s="22" t="n">
        <f aca="false">P_L!D5</f>
        <v>58.13875</v>
      </c>
      <c r="E5" s="22" t="n">
        <f aca="false">P_L!E5</f>
        <v>67.21675</v>
      </c>
      <c r="F5" s="22" t="n">
        <f aca="false">P_L!F5</f>
        <v>74.672</v>
      </c>
    </row>
    <row r="6" customFormat="false" ht="15" hidden="false" customHeight="false" outlineLevel="0" collapsed="false">
      <c r="A6" s="10" t="s">
        <v>312</v>
      </c>
      <c r="B6" s="22" t="n">
        <f aca="false">P_L!B20</f>
        <v>-2.954</v>
      </c>
      <c r="C6" s="22" t="n">
        <f aca="false">P_L!C20</f>
        <v>23.217579</v>
      </c>
      <c r="D6" s="22" t="n">
        <f aca="false">P_L!D20</f>
        <v>26.9892245</v>
      </c>
      <c r="E6" s="22" t="n">
        <f aca="false">P_L!E20</f>
        <v>32.308409</v>
      </c>
      <c r="F6" s="22" t="n">
        <f aca="false">P_L!F20</f>
        <v>36.43992275</v>
      </c>
    </row>
    <row r="7" customFormat="false" ht="15" hidden="false" customHeight="false" outlineLevel="0" collapsed="false">
      <c r="A7" s="10" t="s">
        <v>313</v>
      </c>
      <c r="B7" s="32" t="n">
        <f aca="false">'Ratios prudentiels'!B16</f>
        <v>0.157015505869576</v>
      </c>
      <c r="C7" s="32" t="n">
        <f aca="false">'Ratios prudentiels'!C16</f>
        <v>0.189483904038982</v>
      </c>
      <c r="D7" s="32" t="n">
        <f aca="false">'Ratios prudentiels'!D16</f>
        <v>0.199753225492433</v>
      </c>
      <c r="E7" s="32" t="n">
        <f aca="false">'Ratios prudentiels'!E16</f>
        <v>0.226713859589605</v>
      </c>
      <c r="F7" s="32" t="n">
        <f aca="false">'Ratios prudentiels'!F16</f>
        <v>0.230882021897485</v>
      </c>
    </row>
    <row r="9" customFormat="false" ht="21.75" hidden="false" customHeight="true" outlineLevel="0" collapsed="false">
      <c r="A9" s="4" t="s">
        <v>314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315</v>
      </c>
      <c r="B10" s="21" t="n">
        <f aca="false">B5*0.85</f>
        <v>25.5223125</v>
      </c>
      <c r="C10" s="21" t="n">
        <f aca="false">C5*0.85</f>
        <v>43.537425</v>
      </c>
      <c r="D10" s="21" t="n">
        <f aca="false">D5*0.85</f>
        <v>49.4179375</v>
      </c>
      <c r="E10" s="21" t="n">
        <f aca="false">E5*0.85</f>
        <v>57.1342375</v>
      </c>
      <c r="F10" s="21" t="n">
        <f aca="false">F5*0.85</f>
        <v>63.4712</v>
      </c>
    </row>
    <row r="11" customFormat="false" ht="15" hidden="false" customHeight="false" outlineLevel="0" collapsed="false">
      <c r="A11" s="10" t="s">
        <v>316</v>
      </c>
      <c r="B11" s="21" t="n">
        <f aca="false">'Coût risque'!B24*1.5</f>
        <v>27.607875</v>
      </c>
      <c r="C11" s="21" t="n">
        <f aca="false">'Coût risque'!C24*1.5</f>
        <v>2.952795</v>
      </c>
      <c r="D11" s="21" t="n">
        <f aca="false">'Coût risque'!D24*1.5</f>
        <v>2.9575725</v>
      </c>
      <c r="E11" s="21" t="n">
        <f aca="false">'Coût risque'!E24*1.5</f>
        <v>2.85882</v>
      </c>
      <c r="F11" s="21" t="n">
        <f aca="false">'Coût risque'!F24*1.5</f>
        <v>2.69395125</v>
      </c>
    </row>
    <row r="12" customFormat="false" ht="15" hidden="false" customHeight="false" outlineLevel="0" collapsed="false">
      <c r="A12" s="14" t="s">
        <v>317</v>
      </c>
      <c r="B12" s="15" t="n">
        <f aca="false">(B10-Charges!B19-B11)*(1-Hypothèses!B8)</f>
        <v>-11.66239375</v>
      </c>
      <c r="C12" s="15" t="n">
        <f aca="false">(C10-Charges!C19-C11)*(1-Hypothèses!C8)</f>
        <v>17.150441</v>
      </c>
      <c r="D12" s="15" t="n">
        <f aca="false">(D10-Charges!D19-D11)*(1-Hypothèses!D8)</f>
        <v>20.1945555</v>
      </c>
      <c r="E12" s="15" t="n">
        <f aca="false">(E10-Charges!E19-E11)*(1-Hypothèses!E8)</f>
        <v>24.58359225</v>
      </c>
      <c r="F12" s="15" t="n">
        <f aca="false">(F10-Charges!F19-F11)*(1-Hypothèses!F8)</f>
        <v>27.970774125</v>
      </c>
    </row>
    <row r="13" customFormat="false" ht="15" hidden="false" customHeight="false" outlineLevel="0" collapsed="false">
      <c r="A13" s="14" t="s">
        <v>318</v>
      </c>
      <c r="B13" s="26" t="n">
        <f aca="false">IFERROR(B12/B6-1,0)</f>
        <v>2.94800059241706</v>
      </c>
      <c r="C13" s="26" t="n">
        <f aca="false">IFERROR(C12/C6-1,0)</f>
        <v>-0.26131656534904</v>
      </c>
      <c r="D13" s="26" t="n">
        <f aca="false">IFERROR(D12/D6-1,0)</f>
        <v>-0.25175488091553</v>
      </c>
      <c r="E13" s="26" t="n">
        <f aca="false">IFERROR(E12/E6-1,0)</f>
        <v>-0.239096166883365</v>
      </c>
      <c r="F13" s="26" t="n">
        <f aca="false">IFERROR(F12/F6-1,0)</f>
        <v>-0.23241401149787</v>
      </c>
    </row>
    <row r="15" customFormat="false" ht="21.75" hidden="false" customHeight="true" outlineLevel="0" collapsed="false">
      <c r="A15" s="4" t="s">
        <v>319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320</v>
      </c>
      <c r="B16" s="21" t="n">
        <f aca="false">Bilan!B16*0.8</f>
        <v>144</v>
      </c>
      <c r="C16" s="21" t="n">
        <f aca="false">Bilan!C16*0.8</f>
        <v>165.6</v>
      </c>
      <c r="D16" s="21" t="n">
        <f aca="false">Bilan!D16*0.8</f>
        <v>190.4</v>
      </c>
      <c r="E16" s="21" t="n">
        <f aca="false">Bilan!E16*0.8</f>
        <v>219.2</v>
      </c>
      <c r="F16" s="21" t="n">
        <f aca="false">Bilan!F16*0.8</f>
        <v>251.2</v>
      </c>
    </row>
    <row r="17" customFormat="false" ht="15" hidden="false" customHeight="false" outlineLevel="0" collapsed="false">
      <c r="A17" s="14" t="s">
        <v>321</v>
      </c>
      <c r="B17" s="28" t="n">
        <f aca="false">Bilan!B16*0.2</f>
        <v>36</v>
      </c>
      <c r="C17" s="28" t="n">
        <f aca="false">Bilan!C16*0.2</f>
        <v>41.4</v>
      </c>
      <c r="D17" s="28" t="n">
        <f aca="false">Bilan!D16*0.2</f>
        <v>47.6</v>
      </c>
      <c r="E17" s="28" t="n">
        <f aca="false">Bilan!E16*0.2</f>
        <v>54.8</v>
      </c>
      <c r="F17" s="28" t="n">
        <f aca="false">Bilan!F16*0.2</f>
        <v>62.8</v>
      </c>
    </row>
    <row r="18" customFormat="false" ht="15" hidden="false" customHeight="false" outlineLevel="0" collapsed="false">
      <c r="A18" s="14" t="s">
        <v>322</v>
      </c>
      <c r="B18" s="26" t="n">
        <f aca="false">IFERROR((Bilan!B5+Bilan!B7*0.8)/(Bilan!B16*0.45+Bilan!B18*0.1),0)</f>
        <v>0.632608695652174</v>
      </c>
      <c r="C18" s="26" t="n">
        <f aca="false">IFERROR((Bilan!C5+Bilan!C7*0.8)/(Bilan!C16*0.45+Bilan!C18*0.1),0)</f>
        <v>0.638158519221642</v>
      </c>
      <c r="D18" s="26" t="n">
        <f aca="false">IFERROR((Bilan!D5+Bilan!D7*0.8)/(Bilan!D16*0.45+Bilan!D18*0.1),0)</f>
        <v>0.64149377593361</v>
      </c>
      <c r="E18" s="26" t="n">
        <f aca="false">IFERROR((Bilan!E5+Bilan!E7*0.8)/(Bilan!E16*0.45+Bilan!E18*0.1),0)</f>
        <v>0.640144927536232</v>
      </c>
      <c r="F18" s="26" t="n">
        <f aca="false">IFERROR((Bilan!F5+Bilan!F7*0.8)/(Bilan!F16*0.45+Bilan!F18*0.1),0)</f>
        <v>0.636825396825397</v>
      </c>
    </row>
    <row r="20" customFormat="false" ht="21.75" hidden="false" customHeight="true" outlineLevel="0" collapsed="false">
      <c r="A20" s="4" t="s">
        <v>323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10" t="s">
        <v>324</v>
      </c>
      <c r="B21" s="21" t="n">
        <f aca="false">Dépôts!B14*0.02</f>
        <v>1.1</v>
      </c>
      <c r="C21" s="21" t="n">
        <f aca="false">Dépôts!C14*0.02</f>
        <v>2.32</v>
      </c>
      <c r="D21" s="21" t="n">
        <f aca="false">Dépôts!D14*0.02</f>
        <v>2.56</v>
      </c>
      <c r="E21" s="21" t="n">
        <f aca="false">Dépôts!E14*0.02</f>
        <v>2.81</v>
      </c>
      <c r="F21" s="21" t="n">
        <f aca="false">Dépôts!F14*0.02</f>
        <v>3.09</v>
      </c>
    </row>
    <row r="22" customFormat="false" ht="15" hidden="false" customHeight="false" outlineLevel="0" collapsed="false">
      <c r="A22" s="10" t="s">
        <v>325</v>
      </c>
      <c r="B22" s="21" t="n">
        <f aca="false">PNB!B7-B21</f>
        <v>15.12625</v>
      </c>
      <c r="C22" s="21" t="n">
        <f aca="false">PNB!C7-C21</f>
        <v>33.1005</v>
      </c>
      <c r="D22" s="21" t="n">
        <f aca="false">PNB!D7-D21</f>
        <v>37.47875</v>
      </c>
      <c r="E22" s="21" t="n">
        <f aca="false">PNB!E7-E21</f>
        <v>43.90675</v>
      </c>
      <c r="F22" s="21" t="n">
        <f aca="false">PNB!F7-F21</f>
        <v>48.482</v>
      </c>
    </row>
    <row r="23" customFormat="false" ht="15" hidden="false" customHeight="false" outlineLevel="0" collapsed="false">
      <c r="A23" s="10" t="s">
        <v>315</v>
      </c>
      <c r="B23" s="21" t="n">
        <f aca="false">B22+PNB!B15</f>
        <v>28.92625</v>
      </c>
      <c r="C23" s="21" t="n">
        <f aca="false">C22+PNB!C15</f>
        <v>48.9005</v>
      </c>
      <c r="D23" s="21" t="n">
        <f aca="false">D22+PNB!D15</f>
        <v>55.57875</v>
      </c>
      <c r="E23" s="21" t="n">
        <f aca="false">E22+PNB!E15</f>
        <v>64.40675</v>
      </c>
      <c r="F23" s="21" t="n">
        <f aca="false">F22+PNB!F15</f>
        <v>71.582</v>
      </c>
    </row>
    <row r="24" customFormat="false" ht="15" hidden="false" customHeight="false" outlineLevel="0" collapsed="false">
      <c r="A24" s="14" t="s">
        <v>326</v>
      </c>
      <c r="B24" s="26" t="n">
        <f aca="false">IFERROR(B23/B5-1,0)</f>
        <v>-0.0366346113817077</v>
      </c>
      <c r="C24" s="26" t="n">
        <f aca="false">IFERROR(C23/C5-1,0)</f>
        <v>-0.0452943645610645</v>
      </c>
      <c r="D24" s="26" t="n">
        <f aca="false">IFERROR(D23/D5-1,0)</f>
        <v>-0.0440325944400249</v>
      </c>
      <c r="E24" s="26" t="n">
        <f aca="false">IFERROR(E23/E5-1,0)</f>
        <v>-0.0418050560314208</v>
      </c>
      <c r="F24" s="26" t="n">
        <f aca="false">IFERROR(F23/F5-1,0)</f>
        <v>-0.0413809727876578</v>
      </c>
    </row>
  </sheetData>
  <mergeCells count="5">
    <mergeCell ref="A1:H1"/>
    <mergeCell ref="A4:H4"/>
    <mergeCell ref="A9:H9"/>
    <mergeCell ref="A15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327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53</v>
      </c>
      <c r="C3" s="9" t="s">
        <v>54</v>
      </c>
      <c r="D3" s="9" t="s">
        <v>55</v>
      </c>
      <c r="E3" s="9" t="s">
        <v>56</v>
      </c>
      <c r="F3" s="9" t="s">
        <v>57</v>
      </c>
    </row>
    <row r="4" customFormat="false" ht="21.75" hidden="false" customHeight="true" outlineLevel="0" collapsed="false">
      <c r="A4" s="4" t="s">
        <v>328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329</v>
      </c>
      <c r="B5" s="22" t="n">
        <f aca="false">P_L!B20</f>
        <v>-2.954</v>
      </c>
      <c r="C5" s="22" t="n">
        <f aca="false">P_L!C20</f>
        <v>23.217579</v>
      </c>
      <c r="D5" s="22" t="n">
        <f aca="false">P_L!D20</f>
        <v>26.9892245</v>
      </c>
      <c r="E5" s="22" t="n">
        <f aca="false">P_L!E20</f>
        <v>32.308409</v>
      </c>
      <c r="F5" s="22" t="n">
        <f aca="false">P_L!F20</f>
        <v>36.43992275</v>
      </c>
    </row>
    <row r="6" customFormat="false" ht="15" hidden="false" customHeight="false" outlineLevel="0" collapsed="false">
      <c r="A6" s="10" t="s">
        <v>330</v>
      </c>
      <c r="B6" s="22" t="n">
        <f aca="false">'Coût risque'!B24</f>
        <v>18.40525</v>
      </c>
      <c r="C6" s="22" t="n">
        <f aca="false">'Coût risque'!C24</f>
        <v>1.96853</v>
      </c>
      <c r="D6" s="22" t="n">
        <f aca="false">'Coût risque'!D24</f>
        <v>1.971715</v>
      </c>
      <c r="E6" s="22" t="n">
        <f aca="false">'Coût risque'!E24</f>
        <v>1.90588</v>
      </c>
      <c r="F6" s="22" t="n">
        <f aca="false">'Coût risque'!F24</f>
        <v>1.7959675</v>
      </c>
    </row>
    <row r="7" customFormat="false" ht="15" hidden="false" customHeight="false" outlineLevel="0" collapsed="false">
      <c r="A7" s="10" t="s">
        <v>331</v>
      </c>
      <c r="B7" s="21" t="n">
        <f aca="false">-Crédits!B9</f>
        <v>-410</v>
      </c>
      <c r="C7" s="21" t="n">
        <f aca="false">-(Crédits!C9-Crédits!B9)</f>
        <v>-64</v>
      </c>
      <c r="D7" s="21" t="n">
        <f aca="false">-(Crédits!D9-Crédits!C9)</f>
        <v>-71</v>
      </c>
      <c r="E7" s="21" t="n">
        <f aca="false">-(Crédits!E9-Crédits!D9)</f>
        <v>-77</v>
      </c>
      <c r="F7" s="21" t="n">
        <f aca="false">-(Crédits!F9-Crédits!E9)</f>
        <v>-83</v>
      </c>
    </row>
    <row r="8" customFormat="false" ht="15" hidden="false" customHeight="false" outlineLevel="0" collapsed="false">
      <c r="A8" s="10" t="s">
        <v>332</v>
      </c>
      <c r="B8" s="21" t="n">
        <f aca="false">Dépôts!B9</f>
        <v>410</v>
      </c>
      <c r="C8" s="21" t="n">
        <f aca="false">Dépôts!C9-Dépôts!B9</f>
        <v>52</v>
      </c>
      <c r="D8" s="21" t="n">
        <f aca="false">Dépôts!D9-Dépôts!C9</f>
        <v>57</v>
      </c>
      <c r="E8" s="21" t="n">
        <f aca="false">Dépôts!E9-Dépôts!D9</f>
        <v>66</v>
      </c>
      <c r="F8" s="21" t="n">
        <f aca="false">Dépôts!F9-Dépôts!E9</f>
        <v>73</v>
      </c>
    </row>
    <row r="9" customFormat="false" ht="15" hidden="false" customHeight="false" outlineLevel="0" collapsed="false">
      <c r="A9" s="14" t="s">
        <v>333</v>
      </c>
      <c r="B9" s="15" t="n">
        <f aca="false">SUM(B5:B8)</f>
        <v>15.45125</v>
      </c>
      <c r="C9" s="15" t="n">
        <f aca="false">SUM(C5:C8)</f>
        <v>13.186109</v>
      </c>
      <c r="D9" s="15" t="n">
        <f aca="false">SUM(D5:D8)</f>
        <v>14.9609395</v>
      </c>
      <c r="E9" s="15" t="n">
        <f aca="false">SUM(E5:E8)</f>
        <v>23.214289</v>
      </c>
      <c r="F9" s="15" t="n">
        <f aca="false">SUM(F5:F8)</f>
        <v>28.23589025</v>
      </c>
    </row>
    <row r="11" customFormat="false" ht="21.75" hidden="false" customHeight="true" outlineLevel="0" collapsed="false">
      <c r="A11" s="4" t="s">
        <v>334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0" t="s">
        <v>335</v>
      </c>
      <c r="B12" s="13" t="n">
        <v>-3.5</v>
      </c>
      <c r="C12" s="13" t="n">
        <v>-4</v>
      </c>
      <c r="D12" s="13" t="n">
        <v>-4.5</v>
      </c>
      <c r="E12" s="13" t="n">
        <v>-5</v>
      </c>
      <c r="F12" s="13" t="n">
        <v>-5.5</v>
      </c>
    </row>
    <row r="13" customFormat="false" ht="15" hidden="false" customHeight="false" outlineLevel="0" collapsed="false">
      <c r="A13" s="10" t="s">
        <v>336</v>
      </c>
      <c r="B13" s="21" t="n">
        <f aca="false">-Bilan!B7</f>
        <v>-61.5</v>
      </c>
      <c r="C13" s="21" t="n">
        <f aca="false">-(Bilan!C7-Bilan!B7)</f>
        <v>-9.59999999999999</v>
      </c>
      <c r="D13" s="21" t="n">
        <f aca="false">-(Bilan!D7-Bilan!C7)</f>
        <v>-10.65</v>
      </c>
      <c r="E13" s="21" t="n">
        <f aca="false">-(Bilan!E7-Bilan!D7)</f>
        <v>-11.55</v>
      </c>
      <c r="F13" s="21" t="n">
        <f aca="false">-(Bilan!F7-Bilan!E7)</f>
        <v>-12.45</v>
      </c>
    </row>
    <row r="14" customFormat="false" ht="15" hidden="false" customHeight="false" outlineLevel="0" collapsed="false">
      <c r="A14" s="14" t="s">
        <v>337</v>
      </c>
      <c r="B14" s="15" t="n">
        <f aca="false">SUM(B12:B13)</f>
        <v>-65</v>
      </c>
      <c r="C14" s="15" t="n">
        <f aca="false">SUM(C12:C13)</f>
        <v>-13.6</v>
      </c>
      <c r="D14" s="15" t="n">
        <f aca="false">SUM(D12:D13)</f>
        <v>-15.15</v>
      </c>
      <c r="E14" s="15" t="n">
        <f aca="false">SUM(E12:E13)</f>
        <v>-16.55</v>
      </c>
      <c r="F14" s="15" t="n">
        <f aca="false">SUM(F12:F13)</f>
        <v>-17.95</v>
      </c>
    </row>
    <row r="16" customFormat="false" ht="21.75" hidden="false" customHeight="true" outlineLevel="0" collapsed="false">
      <c r="A16" s="4" t="s">
        <v>338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10" t="s">
        <v>339</v>
      </c>
      <c r="B17" s="21" t="n">
        <f aca="false">Bilan!B23</f>
        <v>50</v>
      </c>
      <c r="C17" s="21" t="n">
        <f aca="false">Bilan!C23-Bilan!B23</f>
        <v>0</v>
      </c>
      <c r="D17" s="21" t="n">
        <f aca="false">Bilan!D23-Bilan!C23</f>
        <v>0</v>
      </c>
      <c r="E17" s="21" t="n">
        <f aca="false">Bilan!E23-Bilan!D23</f>
        <v>10</v>
      </c>
      <c r="F17" s="21" t="n">
        <f aca="false">Bilan!F23-Bilan!E23</f>
        <v>0</v>
      </c>
    </row>
    <row r="18" customFormat="false" ht="15" hidden="false" customHeight="false" outlineLevel="0" collapsed="false">
      <c r="A18" s="10" t="s">
        <v>340</v>
      </c>
      <c r="B18" s="33" t="n">
        <v>0</v>
      </c>
      <c r="C18" s="21" t="n">
        <f aca="false">-P_L!B20*Hypothèses!B81</f>
        <v>0.8862</v>
      </c>
      <c r="D18" s="21" t="n">
        <f aca="false">-P_L!C20*Hypothèses!C81</f>
        <v>-9.2870316</v>
      </c>
      <c r="E18" s="21" t="n">
        <f aca="false">-P_L!D20*Hypothèses!D81</f>
        <v>-12.145151025</v>
      </c>
      <c r="F18" s="21" t="n">
        <f aca="false">-P_L!E20*Hypothèses!E81</f>
        <v>-16.1542045</v>
      </c>
    </row>
    <row r="19" customFormat="false" ht="15" hidden="false" customHeight="false" outlineLevel="0" collapsed="false">
      <c r="A19" s="14" t="s">
        <v>341</v>
      </c>
      <c r="B19" s="15" t="n">
        <f aca="false">SUM(B17:B18)</f>
        <v>50</v>
      </c>
      <c r="C19" s="15" t="n">
        <f aca="false">SUM(C17:C18)</f>
        <v>0.8862</v>
      </c>
      <c r="D19" s="15" t="n">
        <f aca="false">SUM(D17:D18)</f>
        <v>-9.2870316</v>
      </c>
      <c r="E19" s="15" t="n">
        <f aca="false">SUM(E17:E18)</f>
        <v>-2.145151025</v>
      </c>
      <c r="F19" s="15" t="n">
        <f aca="false">SUM(F17:F18)</f>
        <v>-16.1542045</v>
      </c>
    </row>
    <row r="21" customFormat="false" ht="21.75" hidden="false" customHeight="true" outlineLevel="0" collapsed="false">
      <c r="A21" s="4" t="s">
        <v>342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4" t="s">
        <v>343</v>
      </c>
      <c r="B22" s="25" t="n">
        <f aca="false">B9+B14+B19</f>
        <v>0.451250000000016</v>
      </c>
      <c r="C22" s="25" t="n">
        <f aca="false">C9+C14+C19</f>
        <v>0.472309000000014</v>
      </c>
      <c r="D22" s="25" t="n">
        <f aca="false">D9+D14+D19</f>
        <v>-9.47609210000002</v>
      </c>
      <c r="E22" s="25" t="n">
        <f aca="false">E9+E14+E19</f>
        <v>4.519137975</v>
      </c>
      <c r="F22" s="25" t="n">
        <f aca="false">F9+F14+F19</f>
        <v>-5.86831424999999</v>
      </c>
    </row>
  </sheetData>
  <mergeCells count="5">
    <mergeCell ref="A1:H1"/>
    <mergeCell ref="A4:H4"/>
    <mergeCell ref="A11:H11"/>
    <mergeCell ref="A16:H16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344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34" t="s">
        <v>345</v>
      </c>
      <c r="B3" s="34"/>
      <c r="C3" s="34"/>
      <c r="D3" s="34"/>
      <c r="E3" s="34"/>
      <c r="F3" s="34"/>
    </row>
    <row r="5" customFormat="false" ht="15" hidden="false" customHeight="false" outlineLevel="0" collapsed="false">
      <c r="A5" s="35" t="s">
        <v>346</v>
      </c>
      <c r="B5" s="9" t="s">
        <v>347</v>
      </c>
      <c r="C5" s="9" t="s">
        <v>348</v>
      </c>
      <c r="D5" s="9" t="s">
        <v>349</v>
      </c>
      <c r="E5" s="9"/>
      <c r="F5" s="9" t="s">
        <v>350</v>
      </c>
    </row>
    <row r="6" customFormat="false" ht="15" hidden="false" customHeight="false" outlineLevel="0" collapsed="false">
      <c r="A6" s="10" t="s">
        <v>351</v>
      </c>
      <c r="B6" s="21" t="n">
        <f aca="false">P_L!F5*0.85</f>
        <v>63.4712</v>
      </c>
      <c r="C6" s="22" t="n">
        <f aca="false">P_L!F5</f>
        <v>74.672</v>
      </c>
      <c r="D6" s="21" t="n">
        <f aca="false">P_L!F5*1.15</f>
        <v>85.8728</v>
      </c>
      <c r="F6" s="36" t="s">
        <v>352</v>
      </c>
    </row>
    <row r="7" customFormat="false" ht="15" hidden="false" customHeight="false" outlineLevel="0" collapsed="false">
      <c r="A7" s="10" t="s">
        <v>353</v>
      </c>
      <c r="B7" s="21" t="n">
        <f aca="false">P_L!F20*0.6</f>
        <v>21.86395365</v>
      </c>
      <c r="C7" s="22" t="n">
        <f aca="false">P_L!F20</f>
        <v>36.43992275</v>
      </c>
      <c r="D7" s="21" t="n">
        <f aca="false">P_L!F20*1.3</f>
        <v>47.371899575</v>
      </c>
      <c r="F7" s="36" t="s">
        <v>354</v>
      </c>
    </row>
    <row r="8" customFormat="false" ht="15" hidden="false" customHeight="false" outlineLevel="0" collapsed="false">
      <c r="A8" s="10" t="s">
        <v>355</v>
      </c>
      <c r="B8" s="20" t="n">
        <f aca="false">KPIs!F12*0.6</f>
        <v>0.151666505859411</v>
      </c>
      <c r="C8" s="32" t="n">
        <f aca="false">KPIs!F12</f>
        <v>0.252777509765685</v>
      </c>
      <c r="D8" s="20" t="n">
        <f aca="false">KPIs!F12*1.3</f>
        <v>0.328610762695391</v>
      </c>
      <c r="F8" s="36" t="s">
        <v>356</v>
      </c>
    </row>
    <row r="9" customFormat="false" ht="15" hidden="false" customHeight="false" outlineLevel="0" collapsed="false">
      <c r="A9" s="10" t="s">
        <v>357</v>
      </c>
      <c r="B9" s="20" t="n">
        <f aca="false">'Ratios prudentiels'!F16*0.85</f>
        <v>0.196249718612862</v>
      </c>
      <c r="C9" s="32" t="n">
        <f aca="false">'Ratios prudentiels'!F16</f>
        <v>0.230882021897485</v>
      </c>
      <c r="D9" s="20" t="n">
        <f aca="false">'Ratios prudentiels'!F16*1.1</f>
        <v>0.253970224087233</v>
      </c>
      <c r="F9" s="36" t="s">
        <v>358</v>
      </c>
    </row>
    <row r="10" customFormat="false" ht="15" hidden="false" customHeight="false" outlineLevel="0" collapsed="false">
      <c r="A10" s="10" t="s">
        <v>359</v>
      </c>
      <c r="B10" s="21" t="n">
        <f aca="false">'Coût risque'!F24*1.5</f>
        <v>2.69395125</v>
      </c>
      <c r="C10" s="22" t="n">
        <f aca="false">'Coût risque'!F24</f>
        <v>1.7959675</v>
      </c>
      <c r="D10" s="21" t="n">
        <f aca="false">'Coût risque'!F24*0.7</f>
        <v>1.25717725</v>
      </c>
      <c r="F10" s="36" t="s">
        <v>360</v>
      </c>
    </row>
    <row r="13" customFormat="false" ht="15" hidden="false" customHeight="false" outlineLevel="0" collapsed="false">
      <c r="A13" s="37" t="s">
        <v>361</v>
      </c>
      <c r="B13" s="37"/>
      <c r="C13" s="37"/>
      <c r="D13" s="37"/>
      <c r="E13" s="37"/>
      <c r="F13" s="37"/>
    </row>
    <row r="14" customFormat="false" ht="19.5" hidden="false" customHeight="true" outlineLevel="0" collapsed="false">
      <c r="A14" s="38" t="s">
        <v>362</v>
      </c>
      <c r="B14" s="38"/>
      <c r="C14" s="38"/>
      <c r="D14" s="38"/>
      <c r="E14" s="38"/>
      <c r="F14" s="38"/>
    </row>
    <row r="15" customFormat="false" ht="19.5" hidden="false" customHeight="true" outlineLevel="0" collapsed="false">
      <c r="A15" s="38" t="s">
        <v>363</v>
      </c>
      <c r="B15" s="38"/>
      <c r="C15" s="38"/>
      <c r="D15" s="38"/>
      <c r="E15" s="38"/>
      <c r="F15" s="38"/>
    </row>
  </sheetData>
  <mergeCells count="5">
    <mergeCell ref="A1:F1"/>
    <mergeCell ref="A3:F3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2026-05-11T18:03:08Z</dcterms:created>
  <dc:creator>openpyxl</dc:creator>
  <dc:description/>
  <dc:language>en-US</dc:language>
  <cp:lastModifiedBy/>
  <dcterms:modified xsi:type="dcterms:W3CDTF">2026-05-11T18:03:08Z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