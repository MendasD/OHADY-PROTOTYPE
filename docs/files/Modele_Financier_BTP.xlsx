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Notice" sheetId="1" state="visible" r:id="rId3"/>
    <sheet name="2. Hypothèses" sheetId="2" state="visible" r:id="rId4"/>
    <sheet name="3. Pipeline &amp; Backlog" sheetId="3" state="visible" r:id="rId5"/>
    <sheet name="4. Portefeuille chantiers" sheetId="4" state="visible" r:id="rId6"/>
    <sheet name="5. Décomptes &amp; encaissements" sheetId="5" state="visible" r:id="rId7"/>
    <sheet name="6. BFR &amp; cautions" sheetId="6" state="visible" r:id="rId8"/>
    <sheet name="7. Sous-traitance &amp; cotraitance" sheetId="7" state="visible" r:id="rId9"/>
    <sheet name="8. Parc matériel" sheetId="8" state="visible" r:id="rId10"/>
    <sheet name="9. Charges fixes &amp; RH" sheetId="9" state="visible" r:id="rId11"/>
    <sheet name="10. CAPEX &amp; Amort." sheetId="10" state="visible" r:id="rId12"/>
    <sheet name="11. P&amp;L" sheetId="11" state="visible" r:id="rId13"/>
    <sheet name="12. Trésorerie" sheetId="12" state="visible" r:id="rId14"/>
    <sheet name="13. KPIs Dashboard" sheetId="13" state="visible" r:id="rId15"/>
    <sheet name="14. Scénario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<sst xmlns="http://schemas.openxmlformats.org/spreadsheetml/2006/main" count="759" uniqueCount="563">
  <si>
    <t xml:space="preserve">MODÈLE FINANCIER ETI BTP BÂTIMENTS — NOTICE D'UTILISATION</t>
  </si>
  <si>
    <t xml:space="preserve">Périmètre</t>
  </si>
  <si>
    <t xml:space="preserve">Entreprise de BTP — Spécialité Bâtiments (publics, logements, tertiaire) — Zone UEMOA/CEMAC</t>
  </si>
  <si>
    <t xml:space="preserve">Profil</t>
  </si>
  <si>
    <t xml:space="preserve">ETI — 10-20 chantiers actifs, CA 20-80 Md FCFA/an, marchés publics et institutionnels</t>
  </si>
  <si>
    <t xml:space="preserve">Horizon</t>
  </si>
  <si>
    <t xml:space="preserve">5 années (Y1 mensuel + Y2 à Y5 annuels) — projets pluriannuels</t>
  </si>
  <si>
    <t xml:space="preserve">Devise</t>
  </si>
  <si>
    <t xml:space="preserve">FCFA — Reconnaissance CA à l'avancement (POC) selon IFRS 15 / SYSCOHADA</t>
  </si>
  <si>
    <t xml:space="preserve">STRUCTURE DU CLASSEUR</t>
  </si>
  <si>
    <t xml:space="preserve">Feuille</t>
  </si>
  <si>
    <t xml:space="preserve">Contenu</t>
  </si>
  <si>
    <t xml:space="preserve">1. Notice</t>
  </si>
  <si>
    <t xml:space="preserve">Mode d'emploi, code couleurs, hypothèses-clés</t>
  </si>
  <si>
    <t xml:space="preserve">2. Hypothèses</t>
  </si>
  <si>
    <t xml:space="preserve">Tous les inputs pilotables : macro, commercial, opérations, financement</t>
  </si>
  <si>
    <t xml:space="preserve">3. Pipeline &amp; Backlog</t>
  </si>
  <si>
    <t xml:space="preserve">Carnet de commandes, taux de transformation appels d'offres</t>
  </si>
  <si>
    <t xml:space="preserve">4. Portefeuille chantiers</t>
  </si>
  <si>
    <t xml:space="preserve">Catalogue détaillé des 12 chantiers types avec planning d'avancement</t>
  </si>
  <si>
    <t xml:space="preserve">5. Décomptes &amp; encaissements</t>
  </si>
  <si>
    <t xml:space="preserve">Reconnaissance CA mensuelle + plan d'encaissement (avances, RG, délais Etat)</t>
  </si>
  <si>
    <t xml:space="preserve">6. BFR &amp; cautions</t>
  </si>
  <si>
    <t xml:space="preserve">Avance démarrage, retenues garantie, cautions bancaires et leurs coûts</t>
  </si>
  <si>
    <t xml:space="preserve">7. Sous-traitance &amp; cotraitance</t>
  </si>
  <si>
    <t xml:space="preserve">Quote-part ST/CT, marge groupement, coûts associés</t>
  </si>
  <si>
    <t xml:space="preserve">8. Parc matériel</t>
  </si>
  <si>
    <t xml:space="preserve">Engins, amortissements, location vs propriété, ratios d'utilisation</t>
  </si>
  <si>
    <t xml:space="preserve">9. Charges fixes &amp; RH</t>
  </si>
  <si>
    <t xml:space="preserve">Masse salariale par pôle, charges structure</t>
  </si>
  <si>
    <t xml:space="preserve">10. CAPEX &amp; Amortissements</t>
  </si>
  <si>
    <t xml:space="preserve">Investissements matériel et structure, plan d'amortissement</t>
  </si>
  <si>
    <t xml:space="preserve">11. P&amp;L</t>
  </si>
  <si>
    <t xml:space="preserve">Compte de résultat — CA → Marge brute chantier → EBITDA → EBIT → Net</t>
  </si>
  <si>
    <t xml:space="preserve">12. Trésorerie</t>
  </si>
  <si>
    <t xml:space="preserve">Plan mensuel détaillé : encaissements, décaissements, financement</t>
  </si>
  <si>
    <t xml:space="preserve">13. KPIs Dashboard</t>
  </si>
  <si>
    <t xml:space="preserve">Indicateurs : book-to-bill, marge chantier, DSO, ROCE, gearing, runway</t>
  </si>
  <si>
    <t xml:space="preserve">14. Scénarios</t>
  </si>
  <si>
    <t xml:space="preserve">Pessimiste / Base / Optimiste — sensibilité sur paramètres clés</t>
  </si>
  <si>
    <t xml:space="preserve">CODE COULEURS (conventions financières)</t>
  </si>
  <si>
    <t xml:space="preserve">Convention</t>
  </si>
  <si>
    <t xml:space="preserve">Signification</t>
  </si>
  <si>
    <t xml:space="preserve">Cellule bleue sur fond jaune</t>
  </si>
  <si>
    <t xml:space="preserve">Input modifiable — hypothèse à piloter</t>
  </si>
  <si>
    <t xml:space="preserve">Texte noir</t>
  </si>
  <si>
    <t xml:space="preserve">Formule de calcul interne à la feuille</t>
  </si>
  <si>
    <t xml:space="preserve">Texte vert</t>
  </si>
  <si>
    <t xml:space="preserve">Lien vers une autre feuille du classeur</t>
  </si>
  <si>
    <t xml:space="preserve">Fond marine + texte blanc</t>
  </si>
  <si>
    <t xml:space="preserve">Total ou sous-total agrégé</t>
  </si>
  <si>
    <t xml:space="preserve">Fond or pâle + texte marine</t>
  </si>
  <si>
    <t xml:space="preserve">Sous-total intermédiaire</t>
  </si>
  <si>
    <t xml:space="preserve">POINTS DE VIGILANCE BTP</t>
  </si>
  <si>
    <t xml:space="preserve">•  Reconnaissance CA à l'avancement (POC) : le revenu comptable diffère du flux de trésorerie ; bien distinguer P&amp;L et trésorerie.</t>
  </si>
  <si>
    <t xml:space="preserve">•  Délais de paiement Etat (DSO) : 90 à 180 jours en moyenne UEMOA/CEMAC, parfois plus selon arriérés budgétaires.</t>
  </si>
  <si>
    <t xml:space="preserve">•  Retenue de garantie (5 à 10%) : libérée après réception définitive (DGD), généralement 12 mois après réception provisoire.</t>
  </si>
  <si>
    <t xml:space="preserve">•  Cautions bancaires : commissions 1-3% l'an + dépôt de contre-garantie 10-25% → coût financier significatif à intégrer.</t>
  </si>
  <si>
    <t xml:space="preserve">•  BFR négatif possible en phase d'avance de démarrage, fortement positif en pleine exécution → tension de trésorerie.</t>
  </si>
  <si>
    <t xml:space="preserve">•  Avenants &amp; révision de prix : prévoir 5 à 15% du marché initial, formule de révision indexée (généralement P0+P1·M/M0+P2·S/S0).</t>
  </si>
  <si>
    <t xml:space="preserve">•  Marge brute chantier visée 12-18% ; après FG et frais financiers, marge nette cible 4-8%.</t>
  </si>
  <si>
    <t xml:space="preserve">HYPOTHÈSES — PARAMÈTRES PILOTABLES (5 ans)</t>
  </si>
  <si>
    <t xml:space="preserve">Paramètre</t>
  </si>
  <si>
    <t xml:space="preserve">Unité</t>
  </si>
  <si>
    <t xml:space="preserve">Année 1</t>
  </si>
  <si>
    <t xml:space="preserve">Année 2</t>
  </si>
  <si>
    <t xml:space="preserve">Année 3</t>
  </si>
  <si>
    <t xml:space="preserve">Année 4</t>
  </si>
  <si>
    <t xml:space="preserve">Année 5</t>
  </si>
  <si>
    <t xml:space="preserve">Commentaire</t>
  </si>
  <si>
    <t xml:space="preserve">MACRO-ÉCONOMIE &amp; FISCAL</t>
  </si>
  <si>
    <t xml:space="preserve">Taux d'inflation (BTP)</t>
  </si>
  <si>
    <t xml:space="preserve">%</t>
  </si>
  <si>
    <t xml:space="preserve">Indice BT général UEMOA</t>
  </si>
  <si>
    <t xml:space="preserve">Taux d'IS</t>
  </si>
  <si>
    <t xml:space="preserve">Impôt sur les sociétés zone UEMOA/CEMAC</t>
  </si>
  <si>
    <t xml:space="preserve">Taux TVA</t>
  </si>
  <si>
    <t xml:space="preserve">TVA standard</t>
  </si>
  <si>
    <t xml:space="preserve">Taux Euribor / référence</t>
  </si>
  <si>
    <t xml:space="preserve">Référence financière</t>
  </si>
  <si>
    <t xml:space="preserve">COMMERCIAL &amp; PIPELINE</t>
  </si>
  <si>
    <t xml:space="preserve">Appels d'offres soumis</t>
  </si>
  <si>
    <t xml:space="preserve">nb/an</t>
  </si>
  <si>
    <t xml:space="preserve">Volume d'AO étudiés et chiffrés</t>
  </si>
  <si>
    <t xml:space="preserve">Taux de transformation AO</t>
  </si>
  <si>
    <t xml:space="preserve">Hit-rate moyen</t>
  </si>
  <si>
    <t xml:space="preserve">Valeur moyenne chantier signé</t>
  </si>
  <si>
    <t xml:space="preserve">FCFA</t>
  </si>
  <si>
    <t xml:space="preserve">Ticket moyen marché</t>
  </si>
  <si>
    <t xml:space="preserve">Durée moyenne chantier</t>
  </si>
  <si>
    <t xml:space="preserve">mois</t>
  </si>
  <si>
    <t xml:space="preserve">Exécution physique</t>
  </si>
  <si>
    <t xml:space="preserve">Backlog initial (carnet entrée Y1)</t>
  </si>
  <si>
    <t xml:space="preserve">Carnet de commandes au 01/01</t>
  </si>
  <si>
    <t xml:space="preserve">Coût commercial / AO étudié</t>
  </si>
  <si>
    <t xml:space="preserve">Coût bureau d'études + ingénierie d'offres</t>
  </si>
  <si>
    <t xml:space="preserve">STRUCTURE PRIX &amp; MARGES CHANTIER</t>
  </si>
  <si>
    <t xml:space="preserve">Marge brute chantier visée</t>
  </si>
  <si>
    <t xml:space="preserve">Cible avant FG et frais financiers</t>
  </si>
  <si>
    <t xml:space="preserve">Avenants &amp; révision prix</t>
  </si>
  <si>
    <t xml:space="preserve">% du marché</t>
  </si>
  <si>
    <t xml:space="preserve">Avenants techniques + révision prix formule P0/P1/P2/S</t>
  </si>
  <si>
    <t xml:space="preserve">Marge sur avenants</t>
  </si>
  <si>
    <t xml:space="preserve">Meilleure marge sur avenants (moins compétitif)</t>
  </si>
  <si>
    <t xml:space="preserve">Réclamations recouvrées</t>
  </si>
  <si>
    <t xml:space="preserve">Claims aboutis / marché initial</t>
  </si>
  <si>
    <t xml:space="preserve">DÉCOMPOSITION COÛTS DIRECTS CHANTIER</t>
  </si>
  <si>
    <t xml:space="preserve">Part matériaux</t>
  </si>
  <si>
    <t xml:space="preserve">% des coûts directs</t>
  </si>
  <si>
    <t xml:space="preserve">Ciment, acier, agrégats, second œuvre</t>
  </si>
  <si>
    <t xml:space="preserve">Part main d'œuvre directe</t>
  </si>
  <si>
    <t xml:space="preserve">Ouvriers, chefs d'équipe</t>
  </si>
  <si>
    <t xml:space="preserve">Part sous-traitance</t>
  </si>
  <si>
    <t xml:space="preserve">ST lots techniques</t>
  </si>
  <si>
    <t xml:space="preserve">Part matériel &amp; engins</t>
  </si>
  <si>
    <t xml:space="preserve">Location + amort + carburant</t>
  </si>
  <si>
    <t xml:space="preserve">Part frais de chantier</t>
  </si>
  <si>
    <t xml:space="preserve">Installation, encadrement, sécurité, divers</t>
  </si>
  <si>
    <t xml:space="preserve">SOUS-TRAITANCE &amp; COTRAITANCE</t>
  </si>
  <si>
    <t xml:space="preserve">Marge ST récupérée (mark-up)</t>
  </si>
  <si>
    <t xml:space="preserve">Marge dégagée sur la ST par rapport au coût</t>
  </si>
  <si>
    <t xml:space="preserve">Part chantiers en cotraitance</t>
  </si>
  <si>
    <t xml:space="preserve">Chantiers exécutés en groupement</t>
  </si>
  <si>
    <t xml:space="preserve">Quote-part moyenne en cotraitance</t>
  </si>
  <si>
    <t xml:space="preserve">Quote-part de l'entreprise dans groupement</t>
  </si>
  <si>
    <t xml:space="preserve">Caution sous-traitants vs nous</t>
  </si>
  <si>
    <t xml:space="preserve">Retenue garantie sur ST</t>
  </si>
  <si>
    <t xml:space="preserve">BFR &amp; CONDITIONS DE PAIEMENT</t>
  </si>
  <si>
    <t xml:space="preserve">Avance de démarrage</t>
  </si>
  <si>
    <t xml:space="preserve">Versée à la signature</t>
  </si>
  <si>
    <t xml:space="preserve">Retenue de garantie</t>
  </si>
  <si>
    <t xml:space="preserve">% des décomptes</t>
  </si>
  <si>
    <t xml:space="preserve">Retenue sur chaque CP, libérée au DGD</t>
  </si>
  <si>
    <t xml:space="preserve">Délai retenue de garantie</t>
  </si>
  <si>
    <t xml:space="preserve">mois après réception</t>
  </si>
  <si>
    <t xml:space="preserve">Délai libération RG</t>
  </si>
  <si>
    <t xml:space="preserve">Délai moyen paiement Etat (DSO)</t>
  </si>
  <si>
    <t xml:space="preserve">jours</t>
  </si>
  <si>
    <t xml:space="preserve">Délai de règlement décompte certifié</t>
  </si>
  <si>
    <t xml:space="preserve">Délai fournisseurs (DPO)</t>
  </si>
  <si>
    <t xml:space="preserve">Délai de paiement fournisseurs</t>
  </si>
  <si>
    <t xml:space="preserve">Délai paiement ST (DPO-ST)</t>
  </si>
  <si>
    <t xml:space="preserve">Délai paiement sous-traitants</t>
  </si>
  <si>
    <t xml:space="preserve">CAUTIONS BANCAIRES</t>
  </si>
  <si>
    <t xml:space="preserve">Caution de soumission</t>
  </si>
  <si>
    <t xml:space="preserve">% AO soumis</t>
  </si>
  <si>
    <t xml:space="preserve">1,5% du montant pour les AO</t>
  </si>
  <si>
    <t xml:space="preserve">Caution restitution avance</t>
  </si>
  <si>
    <t xml:space="preserve">Égale à l'avance reçue</t>
  </si>
  <si>
    <t xml:space="preserve">Caution de bonne fin</t>
  </si>
  <si>
    <t xml:space="preserve">Pendant exécution</t>
  </si>
  <si>
    <t xml:space="preserve">Caution retenue de garantie</t>
  </si>
  <si>
    <t xml:space="preserve">Remplace la RG cash</t>
  </si>
  <si>
    <t xml:space="preserve">Commission caution / an</t>
  </si>
  <si>
    <t xml:space="preserve">Commission bancaire annuelle</t>
  </si>
  <si>
    <t xml:space="preserve">Contre-garantie cash bloquée</t>
  </si>
  <si>
    <t xml:space="preserve">% caution</t>
  </si>
  <si>
    <t xml:space="preserve">Dépôt bloqué à la banque</t>
  </si>
  <si>
    <t xml:space="preserve">PARC MATÉRIEL &amp; ENGINS</t>
  </si>
  <si>
    <t xml:space="preserve">Valeur parc matériel initial</t>
  </si>
  <si>
    <t xml:space="preserve">Valeur brute des engins au 01/01</t>
  </si>
  <si>
    <t xml:space="preserve">Acquisition matériel / an</t>
  </si>
  <si>
    <t xml:space="preserve">CAPEX engins</t>
  </si>
  <si>
    <t xml:space="preserve">Durée amortissement engins</t>
  </si>
  <si>
    <t xml:space="preserve">années</t>
  </si>
  <si>
    <t xml:space="preserve">Amort linéaire 7 ans</t>
  </si>
  <si>
    <t xml:space="preserve">Coût location engins / mois</t>
  </si>
  <si>
    <t xml:space="preserve">Location engins externes (location courte)</t>
  </si>
  <si>
    <t xml:space="preserve">Carburant &amp; maintenance / an</t>
  </si>
  <si>
    <t xml:space="preserve">OPEX engins propres</t>
  </si>
  <si>
    <t xml:space="preserve">Taux d'utilisation engins</t>
  </si>
  <si>
    <t xml:space="preserve">Heures utiles / heures dispo</t>
  </si>
  <si>
    <t xml:space="preserve">MASSE SALARIALE STRUCTURE (HORS PRODUCTION)</t>
  </si>
  <si>
    <t xml:space="preserve">ETP Direction &amp; Corporate</t>
  </si>
  <si>
    <t xml:space="preserve">nb</t>
  </si>
  <si>
    <t xml:space="preserve">Direction, juridique, finance, RH</t>
  </si>
  <si>
    <t xml:space="preserve">Salaire chargé Direction</t>
  </si>
  <si>
    <t xml:space="preserve">FCFA/mois</t>
  </si>
  <si>
    <t xml:space="preserve">Salaire chargé moyen</t>
  </si>
  <si>
    <t xml:space="preserve">ETP Bureau d'études &amp; ingénierie</t>
  </si>
  <si>
    <t xml:space="preserve">Métreurs, projeteurs, ingénieurs</t>
  </si>
  <si>
    <t xml:space="preserve">Salaire chargé BE</t>
  </si>
  <si>
    <t xml:space="preserve">ETP Encadrement chantiers</t>
  </si>
  <si>
    <t xml:space="preserve">Conducteurs travaux, chefs chantier</t>
  </si>
  <si>
    <t xml:space="preserve">Salaire chargé Encadrement</t>
  </si>
  <si>
    <t xml:space="preserve">ETP Support (compta, achats, QHSE)</t>
  </si>
  <si>
    <t xml:space="preserve">Fonctions support</t>
  </si>
  <si>
    <t xml:space="preserve">Salaire chargé Support</t>
  </si>
  <si>
    <t xml:space="preserve">CHARGES FIXES STRUCTURE (HORS PRODUCTION)</t>
  </si>
  <si>
    <t xml:space="preserve">Loyer siège &amp; dépôts / mois</t>
  </si>
  <si>
    <t xml:space="preserve">Siège, ateliers, dépôts</t>
  </si>
  <si>
    <t xml:space="preserve">Assurances générales / an</t>
  </si>
  <si>
    <t xml:space="preserve">RC, dommages-ouvrage, flotte</t>
  </si>
  <si>
    <t xml:space="preserve">IT, télécoms, ERP / mois</t>
  </si>
  <si>
    <t xml:space="preserve">Infogérance, licences, comm</t>
  </si>
  <si>
    <t xml:space="preserve">Frais juridiques &amp; honoraires / an</t>
  </si>
  <si>
    <t xml:space="preserve">Cabinets juridiques, audit, expert</t>
  </si>
  <si>
    <t xml:space="preserve">Marketing &amp; relations institutionnelles / an</t>
  </si>
  <si>
    <t xml:space="preserve">Salons, lobbying, communication</t>
  </si>
  <si>
    <t xml:space="preserve">Formation &amp; QHSE / an</t>
  </si>
  <si>
    <t xml:space="preserve">Habilitations, certifications</t>
  </si>
  <si>
    <t xml:space="preserve">Divers &amp; déplacements / mois</t>
  </si>
  <si>
    <t xml:space="preserve">Missions, hôtels, divers</t>
  </si>
  <si>
    <t xml:space="preserve">FINANCEMENT &amp; STRUCTURE FINANCIÈRE</t>
  </si>
  <si>
    <t xml:space="preserve">Capitaux propres au 01/01</t>
  </si>
  <si>
    <t xml:space="preserve">Equity à l'ouverture (cumulé après)</t>
  </si>
  <si>
    <t xml:space="preserve">Dette MLT au 01/01</t>
  </si>
  <si>
    <t xml:space="preserve">Endettement long terme initial</t>
  </si>
  <si>
    <t xml:space="preserve">Taux dette MLT</t>
  </si>
  <si>
    <t xml:space="preserve">Coût dette à terme</t>
  </si>
  <si>
    <t xml:space="preserve">Découvert / mobilisation créances</t>
  </si>
  <si>
    <t xml:space="preserve">Ligne court terme disponible</t>
  </si>
  <si>
    <t xml:space="preserve">Taux découvert / CT</t>
  </si>
  <si>
    <t xml:space="preserve">Coût ligne courte</t>
  </si>
  <si>
    <t xml:space="preserve">Trésorerie initiale</t>
  </si>
  <si>
    <t xml:space="preserve">Cash disponible au 01/01</t>
  </si>
  <si>
    <t xml:space="preserve">PIPELINE COMMERCIAL &amp; CARNET DE COMMANDES (BACKLOG)</t>
  </si>
  <si>
    <t xml:space="preserve">Indicateur</t>
  </si>
  <si>
    <t xml:space="preserve">ACTIVITÉ COMMERCIALE</t>
  </si>
  <si>
    <t xml:space="preserve">AO étudiés</t>
  </si>
  <si>
    <t xml:space="preserve">Taux de transformation</t>
  </si>
  <si>
    <t xml:space="preserve">Hit-rate</t>
  </si>
  <si>
    <t xml:space="preserve">Chantiers gagnés / an</t>
  </si>
  <si>
    <t xml:space="preserve">Nb de nouveaux chantiers signés</t>
  </si>
  <si>
    <t xml:space="preserve">Valeur moyenne chantier</t>
  </si>
  <si>
    <t xml:space="preserve">Ticket moyen</t>
  </si>
  <si>
    <t xml:space="preserve">PRISES DE COMMANDES &amp; BACKLOG</t>
  </si>
  <si>
    <t xml:space="preserve">Prises de commandes / an</t>
  </si>
  <si>
    <t xml:space="preserve">Valeur nouveaux marchés signés</t>
  </si>
  <si>
    <t xml:space="preserve">Backlog début de période</t>
  </si>
  <si>
    <t xml:space="preserve">Carnet à l'ouverture</t>
  </si>
  <si>
    <t xml:space="preserve">CA reconnu (déversement)</t>
  </si>
  <si>
    <t xml:space="preserve">CA reconnu à l'avancement</t>
  </si>
  <si>
    <t xml:space="preserve">Backlog fin de période</t>
  </si>
  <si>
    <t xml:space="preserve">Carnet de commandes à la clôture</t>
  </si>
  <si>
    <t xml:space="preserve">INDICATEURS PIPELINE</t>
  </si>
  <si>
    <t xml:space="preserve">Book-to-bill ratio</t>
  </si>
  <si>
    <t xml:space="preserve">Prises / CA reconnu (&gt;1 = croissance)</t>
  </si>
  <si>
    <t xml:space="preserve">Couverture backlog (mois)</t>
  </si>
  <si>
    <t xml:space="preserve">Backlog / (CA / 12)</t>
  </si>
  <si>
    <t xml:space="preserve">Coût commercial total / an</t>
  </si>
  <si>
    <t xml:space="preserve">Coût bureau d'études d'offres</t>
  </si>
  <si>
    <t xml:space="preserve">Coût d'acquisition par chantier</t>
  </si>
  <si>
    <t xml:space="preserve">Coût AO / nb chantiers gagnés</t>
  </si>
  <si>
    <t xml:space="preserve">PORTEFEUILLE DES CHANTIERS — VUE PROJET</t>
  </si>
  <si>
    <t xml:space="preserve">Code</t>
  </si>
  <si>
    <t xml:space="preserve">Désignation</t>
  </si>
  <si>
    <t xml:space="preserve">Type</t>
  </si>
  <si>
    <t xml:space="preserve">Mois démarrage</t>
  </si>
  <si>
    <t xml:space="preserve">Durée (mois)</t>
  </si>
  <si>
    <t xml:space="preserve">Valeur (FCFA)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</si>
  <si>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</si>
  <si>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</si>
  <si>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</si>
  <si>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</si>
  <si>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</si>
  <si>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</si>
  <si>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</si>
  <si>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</si>
  <si>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M09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</si>
  <si>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</si>
  <si>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</si>
  <si>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</si>
  <si>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</si>
  <si>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</si>
  <si>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</si>
  <si>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</si>
  <si>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</si>
  <si>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</si>
  <si>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</si>
  <si>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</si>
  <si>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</si>
  <si>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</si>
  <si>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</si>
  <si>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</si>
  <si>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</si>
  <si>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</si>
  <si>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</si>
  <si>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</si>
  <si>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</si>
  <si>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</si>
  <si>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</si>
  <si>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</si>
  <si>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</si>
  <si>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</si>
  <si>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</si>
  <si>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</si>
  <si>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</si>
  <si>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</si>
  <si>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</si>
  <si>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</si>
  <si>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</si>
  <si>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</si>
  <si>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</si>
  <si>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</si>
  <si>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</si>
  <si>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</si>
  <si>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</si>
  <si>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</si>
  <si>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</si>
  <si>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</si>
  <si>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</si>
  <si>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</si>
  <si>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</si>
  <si>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</si>
  <si>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</si>
  <si>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</si>
  <si>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</si>
  <si>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</si>
  <si>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</si>
  <si>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</si>
  <si>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CH-01</t>
  </si>
  <si>
    <t xml:space="preserve">Logements sociaux Phase 1</t>
  </si>
  <si>
    <t xml:space="preserve">Bâtiment public</t>
  </si>
  <si>
    <t xml:space="preserve">CH-02</t>
  </si>
  <si>
    <t xml:space="preserve">Centre administratif régional</t>
  </si>
  <si>
    <t xml:space="preserve">Tertiaire public</t>
  </si>
  <si>
    <t xml:space="preserve">CH-03</t>
  </si>
  <si>
    <t xml:space="preserve">Lycée technique national</t>
  </si>
  <si>
    <t xml:space="preserve">Public</t>
  </si>
  <si>
    <t xml:space="preserve">CH-04</t>
  </si>
  <si>
    <t xml:space="preserve">Hôpital de district</t>
  </si>
  <si>
    <t xml:space="preserve">Santé publique</t>
  </si>
  <si>
    <t xml:space="preserve">CH-05</t>
  </si>
  <si>
    <t xml:space="preserve">Siège institution financière</t>
  </si>
  <si>
    <t xml:space="preserve">Tertiaire</t>
  </si>
  <si>
    <t xml:space="preserve">CH-06</t>
  </si>
  <si>
    <t xml:space="preserve">Logements sociaux Phase 2</t>
  </si>
  <si>
    <t xml:space="preserve">CH-07</t>
  </si>
  <si>
    <t xml:space="preserve">Ministère - extension</t>
  </si>
  <si>
    <t xml:space="preserve">CH-08</t>
  </si>
  <si>
    <t xml:space="preserve">Université - bloc pédagogique</t>
  </si>
  <si>
    <t xml:space="preserve">CH-09</t>
  </si>
  <si>
    <t xml:space="preserve">Centre des congrès</t>
  </si>
  <si>
    <t xml:space="preserve">CH-10</t>
  </si>
  <si>
    <t xml:space="preserve">Logements résidentiels haut-standing</t>
  </si>
  <si>
    <t xml:space="preserve">Logement</t>
  </si>
  <si>
    <t xml:space="preserve">CH-11</t>
  </si>
  <si>
    <t xml:space="preserve">Hôpital régional</t>
  </si>
  <si>
    <t xml:space="preserve">CH-12</t>
  </si>
  <si>
    <t xml:space="preserve">Complexe sportif olympique</t>
  </si>
  <si>
    <t xml:space="preserve">TOTAL</t>
  </si>
  <si>
    <t xml:space="preserve">Tous chantiers — CA reconnu mensuel</t>
  </si>
  <si>
    <t xml:space="preserve">AGRÉGATIONS ANNUELLES</t>
  </si>
  <si>
    <t xml:space="preserve">CA reconnu chantiers initiaux</t>
  </si>
  <si>
    <t xml:space="preserve">CA additionnel nouveaux chantiers (hors 12 typés)</t>
  </si>
  <si>
    <t xml:space="preserve">CA TOTAL RECONNU (annuel)</t>
  </si>
  <si>
    <t xml:space="preserve">CA RECONNU MENSUEL Y1 (M01 → M12)</t>
  </si>
  <si>
    <t xml:space="preserve">Mois</t>
  </si>
  <si>
    <t xml:space="preserve">CA chantiers initiaux</t>
  </si>
  <si>
    <t xml:space="preserve">Avenants &amp; révision</t>
  </si>
  <si>
    <t xml:space="preserve">Réclamations</t>
  </si>
  <si>
    <t xml:space="preserve">CA TOTAL MENSUEL Y1</t>
  </si>
  <si>
    <t xml:space="preserve">DÉCOMPTES, AVANCES &amp; ENCAISSEMENTS</t>
  </si>
  <si>
    <t xml:space="preserve">Poste</t>
  </si>
  <si>
    <t xml:space="preserve">Total Y1</t>
  </si>
  <si>
    <t xml:space="preserve">CA RECONNU À L'AVANCEMENT (POC)</t>
  </si>
  <si>
    <t xml:space="preserve">CA reconnu (P&amp;L)</t>
  </si>
  <si>
    <t xml:space="preserve">DÉCOMPTES FACTURÉS &amp; STRUCTURE</t>
  </si>
  <si>
    <t xml:space="preserve">Décompte brut facturé HT</t>
  </si>
  <si>
    <t xml:space="preserve">Avance de démarrage perçue</t>
  </si>
  <si>
    <t xml:space="preserve">Remboursement avance (sur décompte)</t>
  </si>
  <si>
    <t xml:space="preserve">Retenue garantie prélevée</t>
  </si>
  <si>
    <t xml:space="preserve">Décompte net dû par le maître d'ouvrage</t>
  </si>
  <si>
    <t xml:space="preserve">ENCAISSEMENTS RÉELS (TIMING)</t>
  </si>
  <si>
    <t xml:space="preserve">Encaissements décomptes (timing DSO)</t>
  </si>
  <si>
    <t xml:space="preserve">Libération retenue de garantie</t>
  </si>
  <si>
    <t xml:space="preserve">TOTAL ENCAISSEMENTS CLIENT</t>
  </si>
  <si>
    <t xml:space="preserve">BFR, RETENUES &amp; CAUTIONS BANCAIRES</t>
  </si>
  <si>
    <t xml:space="preserve">ENCOURS CAUTIONS BANCAIRES (fin de période)</t>
  </si>
  <si>
    <t xml:space="preserve">Encours caution soumission moyen</t>
  </si>
  <si>
    <t xml:space="preserve">Encours caution restitution avance</t>
  </si>
  <si>
    <t xml:space="preserve">Encours caution bonne fin</t>
  </si>
  <si>
    <t xml:space="preserve">Encours caution RG (remplacement RG cash)</t>
  </si>
  <si>
    <t xml:space="preserve">TOTAL ENCOURS CAUTIONS</t>
  </si>
  <si>
    <t xml:space="preserve">COÛT DES CAUTIONS (P&amp;L)</t>
  </si>
  <si>
    <t xml:space="preserve">Commission cautions (an)</t>
  </si>
  <si>
    <t xml:space="preserve">Contre-garantie cash bloquée (BFR)</t>
  </si>
  <si>
    <t xml:space="preserve">BFR OPÉRATIONNEL</t>
  </si>
  <si>
    <t xml:space="preserve">Créances clients (CA × DSO/360)</t>
  </si>
  <si>
    <t xml:space="preserve">Retenue garantie cumulée non libérée</t>
  </si>
  <si>
    <t xml:space="preserve">Stocks chantier &amp; en-cours</t>
  </si>
  <si>
    <t xml:space="preserve">Dettes fournisseurs (coûts × DPO/360)</t>
  </si>
  <si>
    <t xml:space="preserve">Avances reçues non amorties</t>
  </si>
  <si>
    <t xml:space="preserve">BFR opérationnel net</t>
  </si>
  <si>
    <t xml:space="preserve">BFR TOTAL (avec contre-garanties)</t>
  </si>
  <si>
    <t xml:space="preserve">Variation BFR (négatif = consomme cash)</t>
  </si>
  <si>
    <t xml:space="preserve">SOUS-TRAITANCE</t>
  </si>
  <si>
    <t xml:space="preserve">CA total annuel</t>
  </si>
  <si>
    <t xml:space="preserve">Coûts directs totaux (1 - marge brute)</t>
  </si>
  <si>
    <t xml:space="preserve">Part sous-traitance dans coûts directs</t>
  </si>
  <si>
    <t xml:space="preserve">Coût brut sous-traitance</t>
  </si>
  <si>
    <t xml:space="preserve">Mark-up (marge retenue sur ST)</t>
  </si>
  <si>
    <t xml:space="preserve">Marge dégagée sur ST</t>
  </si>
  <si>
    <t xml:space="preserve">Retenue garantie sur ST (cash conservé)</t>
  </si>
  <si>
    <t xml:space="preserve">COTRAITANCE (GROUPEMENT)</t>
  </si>
  <si>
    <t xml:space="preserve">CA réalisé en cotraitance (brut groupement)</t>
  </si>
  <si>
    <t xml:space="preserve">Quote-part propre dans groupements</t>
  </si>
  <si>
    <t xml:space="preserve">CA effectivement comptabilisé en CT</t>
  </si>
  <si>
    <t xml:space="preserve">PARC MATÉRIEL &amp; ENGINS — INVESTISSEMENTS &amp; OPEX</t>
  </si>
  <si>
    <t xml:space="preserve">ÉVOLUTION VALEUR BRUTE PARC</t>
  </si>
  <si>
    <t xml:space="preserve">Valeur brute début</t>
  </si>
  <si>
    <t xml:space="preserve">(+) Acquisitions de l'année</t>
  </si>
  <si>
    <t xml:space="preserve">Valeur brute fin</t>
  </si>
  <si>
    <t xml:space="preserve">AMORTISSEMENTS</t>
  </si>
  <si>
    <t xml:space="preserve">Dotation amortissement engins annuelle</t>
  </si>
  <si>
    <t xml:space="preserve">Cumul amortissements</t>
  </si>
  <si>
    <t xml:space="preserve">VNC fin de période (valeur nette comptable)</t>
  </si>
  <si>
    <t xml:space="preserve">OPEX ENGINS (P&amp;L)</t>
  </si>
  <si>
    <t xml:space="preserve">Location engins externes (annuel)</t>
  </si>
  <si>
    <t xml:space="preserve">Carburant &amp; maintenance engins propres</t>
  </si>
  <si>
    <t xml:space="preserve">TOTAL OPEX MATÉRIEL</t>
  </si>
  <si>
    <t xml:space="preserve">CHARGES FIXES &amp; MASSE SALARIALE STRUCTURE</t>
  </si>
  <si>
    <t xml:space="preserve">  Direction &amp; Corporate</t>
  </si>
  <si>
    <t xml:space="preserve">  Bureau d'études &amp; ingénierie</t>
  </si>
  <si>
    <t xml:space="preserve">  Encadrement chantiers</t>
  </si>
  <si>
    <t xml:space="preserve">  Support (compta, achats, QHSE)</t>
  </si>
  <si>
    <t xml:space="preserve">TOTAL MASSE SALARIALE</t>
  </si>
  <si>
    <t xml:space="preserve">AUTRES CHARGES FIXES STRUCTURE</t>
  </si>
  <si>
    <t xml:space="preserve">  Loyer siège &amp; dépôts</t>
  </si>
  <si>
    <t xml:space="preserve">  Assurances générales</t>
  </si>
  <si>
    <t xml:space="preserve">  IT, télécoms, ERP</t>
  </si>
  <si>
    <t xml:space="preserve">  Frais juridiques &amp; honoraires</t>
  </si>
  <si>
    <t xml:space="preserve">  Marketing &amp; relations institutionnelles</t>
  </si>
  <si>
    <t xml:space="preserve">  Formation &amp; QHSE</t>
  </si>
  <si>
    <t xml:space="preserve">  Divers &amp; déplacements</t>
  </si>
  <si>
    <t xml:space="preserve">TOTAL AUTRES CHARGES FIXES</t>
  </si>
  <si>
    <t xml:space="preserve">COÛT COMMERCIAL</t>
  </si>
  <si>
    <t xml:space="preserve">Coût bureau d'études d'offres (AO)</t>
  </si>
  <si>
    <t xml:space="preserve">TOTAL CHARGES FIXES STRUCTURE</t>
  </si>
  <si>
    <t xml:space="preserve">CAPEX &amp; AMORTISSEMENTS GLOBAL</t>
  </si>
  <si>
    <t xml:space="preserve">INVESTISSEMENTS ANNUELS</t>
  </si>
  <si>
    <t xml:space="preserve">  Engins &amp; matériel (parc)</t>
  </si>
  <si>
    <t xml:space="preserve">  Aménagement siège &amp; dépôts</t>
  </si>
  <si>
    <t xml:space="preserve">  Systèmes IT, ERP, logiciels</t>
  </si>
  <si>
    <t xml:space="preserve">  Véhicules de service</t>
  </si>
  <si>
    <t xml:space="preserve">TOTAL CAPEX ANNUEL</t>
  </si>
  <si>
    <t xml:space="preserve">DOTATIONS AUX AMORTISSEMENTS</t>
  </si>
  <si>
    <t xml:space="preserve">  Amort. Engins &amp; matériel (parc)</t>
  </si>
  <si>
    <t xml:space="preserve">  Amort. Aménagement siège &amp; dépôts</t>
  </si>
  <si>
    <t xml:space="preserve">  Amort. Systèmes IT, ERP, logiciels</t>
  </si>
  <si>
    <t xml:space="preserve">  Amort. Véhicules de service</t>
  </si>
  <si>
    <t xml:space="preserve">TOTAL AMORT. (hors parc matériel détaillé)</t>
  </si>
  <si>
    <t xml:space="preserve">Amort. parc matériel (engins)</t>
  </si>
  <si>
    <t xml:space="preserve">TOTAL AMORTISSEMENTS</t>
  </si>
  <si>
    <t xml:space="preserve">COMPTE DE RÉSULTAT (P&amp;L) — Vue annuelle 5 ans</t>
  </si>
  <si>
    <t xml:space="preserve">CHIFFRE D'AFFAIRES</t>
  </si>
  <si>
    <t xml:space="preserve">COÛTS DIRECTS CHANTIER</t>
  </si>
  <si>
    <t xml:space="preserve">(-) Matériaux</t>
  </si>
  <si>
    <t xml:space="preserve">(-) Main d'œuvre directe</t>
  </si>
  <si>
    <t xml:space="preserve">(-) Sous-traitance</t>
  </si>
  <si>
    <t xml:space="preserve">(-) Matériel &amp; engins (OPEX)</t>
  </si>
  <si>
    <t xml:space="preserve">(-) Frais de chantier</t>
  </si>
  <si>
    <t xml:space="preserve">MARGE BRUTE CHANTIER</t>
  </si>
  <si>
    <t xml:space="preserve">  Taux marge brute</t>
  </si>
  <si>
    <t xml:space="preserve">CHARGES STRUCTURE &amp; AUTRES</t>
  </si>
  <si>
    <t xml:space="preserve">(-) Charges fixes structure (RH + autres)</t>
  </si>
  <si>
    <t xml:space="preserve">EBITDA</t>
  </si>
  <si>
    <t xml:space="preserve">  Marge EBITDA</t>
  </si>
  <si>
    <t xml:space="preserve">(-) Dotations aux amortissements</t>
  </si>
  <si>
    <t xml:space="preserve">RÉSULTAT D'EXPLOITATION (EBIT)</t>
  </si>
  <si>
    <t xml:space="preserve">RÉSULTAT FINANCIER</t>
  </si>
  <si>
    <t xml:space="preserve">(-) Intérêts dette MLT</t>
  </si>
  <si>
    <t xml:space="preserve">(-) Intérêts découvert / CT (sur BFR)</t>
  </si>
  <si>
    <t xml:space="preserve">(-) Commissions cautions bancaires</t>
  </si>
  <si>
    <t xml:space="preserve">TOTAL FRAIS FINANCIERS</t>
  </si>
  <si>
    <t xml:space="preserve">RÉSULTAT AVANT IMPÔT</t>
  </si>
  <si>
    <t xml:space="preserve">(-) Impôt sur les sociétés</t>
  </si>
  <si>
    <t xml:space="preserve">RÉSULTAT NET</t>
  </si>
  <si>
    <t xml:space="preserve">  Marge nette</t>
  </si>
  <si>
    <t xml:space="preserve">PLAN DE TRÉSORERIE ANNUEL — 5 ans</t>
  </si>
  <si>
    <t xml:space="preserve">ENCAISSEMENTS</t>
  </si>
  <si>
    <t xml:space="preserve">Encaissements clients (décomptes + RG)</t>
  </si>
  <si>
    <t xml:space="preserve">DÉCAISSEMENTS OPÉRATIONNELS</t>
  </si>
  <si>
    <t xml:space="preserve">Coûts directs chantier</t>
  </si>
  <si>
    <t xml:space="preserve">Charges fixes structure</t>
  </si>
  <si>
    <t xml:space="preserve">Variation BFR</t>
  </si>
  <si>
    <t xml:space="preserve">CASH FLOW OPÉRATIONNEL (EBITDA - var BFR)</t>
  </si>
  <si>
    <t xml:space="preserve">FRAIS FINANCIERS, IS &amp; INVESTISSEMENTS</t>
  </si>
  <si>
    <t xml:space="preserve">(-) Frais financiers &amp; cautions</t>
  </si>
  <si>
    <t xml:space="preserve">(-) Impôt sur les sociétés payé</t>
  </si>
  <si>
    <t xml:space="preserve">(-) CAPEX (investissements)</t>
  </si>
  <si>
    <t xml:space="preserve">CASH FLOW LIBRE (FCF)</t>
  </si>
  <si>
    <t xml:space="preserve">FINANCEMENT</t>
  </si>
  <si>
    <t xml:space="preserve">(+) Nouveaux emprunts MLT</t>
  </si>
  <si>
    <t xml:space="preserve">(-) Remboursements emprunts</t>
  </si>
  <si>
    <t xml:space="preserve">(+) Augmentation capital</t>
  </si>
  <si>
    <t xml:space="preserve">(-) Dividendes versés</t>
  </si>
  <si>
    <t xml:space="preserve">CASH FLOW FINANCEMENT</t>
  </si>
  <si>
    <t xml:space="preserve">Variation de trésorerie nette</t>
  </si>
  <si>
    <t xml:space="preserve">SOLDE DE TRÉSORERIE</t>
  </si>
  <si>
    <t xml:space="preserve">Trésorerie début de période</t>
  </si>
  <si>
    <t xml:space="preserve">TRÉSORERIE FIN DE PÉRIODE</t>
  </si>
  <si>
    <t xml:space="preserve">DASHBOARD KPIs — PILOTAGE STRATÉGIQUE</t>
  </si>
  <si>
    <t xml:space="preserve">ACTIVITÉ &amp; PIPELINE</t>
  </si>
  <si>
    <t xml:space="preserve">Chiffre d'affaires</t>
  </si>
  <si>
    <t xml:space="preserve">Croissance CA YoY</t>
  </si>
  <si>
    <t xml:space="preserve">Taux de croissance annuel</t>
  </si>
  <si>
    <t xml:space="preserve">Carnet de commandes clôture</t>
  </si>
  <si>
    <t xml:space="preserve">Book-to-bill</t>
  </si>
  <si>
    <t xml:space="preserve">ratio</t>
  </si>
  <si>
    <t xml:space="preserve">&gt;1x signifie croissance future</t>
  </si>
  <si>
    <t xml:space="preserve">Couverture backlog</t>
  </si>
  <si>
    <t xml:space="preserve">Hit-rate AO</t>
  </si>
  <si>
    <t xml:space="preserve">Nb chantiers gagnés</t>
  </si>
  <si>
    <t xml:space="preserve">Nouveaux contrats signés</t>
  </si>
  <si>
    <t xml:space="preserve">RENTABILITÉ</t>
  </si>
  <si>
    <t xml:space="preserve">Marge brute chantier</t>
  </si>
  <si>
    <t xml:space="preserve">Marge avant FG</t>
  </si>
  <si>
    <t xml:space="preserve">Taux marge brute</t>
  </si>
  <si>
    <t xml:space="preserve">Marge brute / CA — cible 12-18%</t>
  </si>
  <si>
    <t xml:space="preserve">Excédent brut d'exploitation</t>
  </si>
  <si>
    <t xml:space="preserve">Marge EBITDA</t>
  </si>
  <si>
    <t xml:space="preserve">Rentabilité opérationnelle</t>
  </si>
  <si>
    <t xml:space="preserve">Résultat net</t>
  </si>
  <si>
    <t xml:space="preserve">Bottom line</t>
  </si>
  <si>
    <t xml:space="preserve">Marge nette</t>
  </si>
  <si>
    <t xml:space="preserve">Cible 4-8% en BTP</t>
  </si>
  <si>
    <t xml:space="preserve">BFR &amp; CASH MANAGEMENT</t>
  </si>
  <si>
    <t xml:space="preserve">BFR opérationnel</t>
  </si>
  <si>
    <t xml:space="preserve">Hors contre-garanties</t>
  </si>
  <si>
    <t xml:space="preserve">BFR / CA (jours)</t>
  </si>
  <si>
    <t xml:space="preserve">BFR en jours de CA</t>
  </si>
  <si>
    <t xml:space="preserve">DSO réel</t>
  </si>
  <si>
    <t xml:space="preserve">Délai recouvrement clients</t>
  </si>
  <si>
    <t xml:space="preserve">Total encours cautions</t>
  </si>
  <si>
    <t xml:space="preserve">Engagements hors bilan</t>
  </si>
  <si>
    <t xml:space="preserve">Coût cautions / CA</t>
  </si>
  <si>
    <t xml:space="preserve">Poids commissions cautions</t>
  </si>
  <si>
    <t xml:space="preserve">Cash flow libre (FCF)</t>
  </si>
  <si>
    <t xml:space="preserve">FCF disponible</t>
  </si>
  <si>
    <t xml:space="preserve">Trésorerie fin de période</t>
  </si>
  <si>
    <t xml:space="preserve">Cash en banque</t>
  </si>
  <si>
    <t xml:space="preserve">STRUCTURE FINANCIÈRE</t>
  </si>
  <si>
    <t xml:space="preserve">Charges fixes / CA</t>
  </si>
  <si>
    <t xml:space="preserve">Poids structure</t>
  </si>
  <si>
    <t xml:space="preserve">Frais financiers / CA</t>
  </si>
  <si>
    <t xml:space="preserve">Poids du financement</t>
  </si>
  <si>
    <t xml:space="preserve">Couverture intérêts (EBITDA / FF)</t>
  </si>
  <si>
    <t xml:space="preserve">x</t>
  </si>
  <si>
    <t xml:space="preserve">Capacité à servir la dette</t>
  </si>
  <si>
    <t xml:space="preserve">PRODUCTIVITÉ &amp; RH</t>
  </si>
  <si>
    <t xml:space="preserve">ETP structure (total)</t>
  </si>
  <si>
    <t xml:space="preserve">Effectif total hors production directe</t>
  </si>
  <si>
    <t xml:space="preserve">CA / ETP</t>
  </si>
  <si>
    <t xml:space="preserve">Productivité par tête</t>
  </si>
  <si>
    <t xml:space="preserve">CA / chantier moyen</t>
  </si>
  <si>
    <t xml:space="preserve">Valeur moyenne par chantier</t>
  </si>
  <si>
    <t xml:space="preserve">ANALYSE DE SCÉNARIOS — Sensibilités sur Année 3</t>
  </si>
  <si>
    <t xml:space="preserve">Pessimiste</t>
  </si>
  <si>
    <t xml:space="preserve">Base (réf Y3)</t>
  </si>
  <si>
    <t xml:space="preserve">Optimiste</t>
  </si>
  <si>
    <t xml:space="preserve">AJUSTEMENTS PAR SCÉNARIO</t>
  </si>
  <si>
    <t xml:space="preserve">Hit-rate AO (impact pipeline)</t>
  </si>
  <si>
    <t xml:space="preserve">Variation pp</t>
  </si>
  <si>
    <t xml:space="preserve">DSO Etat (jours)</t>
  </si>
  <si>
    <t xml:space="preserve">Variation jours</t>
  </si>
  <si>
    <t xml:space="preserve">Avenants/révision</t>
  </si>
  <si>
    <t xml:space="preserve">Charges fixes (vs base)</t>
  </si>
  <si>
    <t xml:space="preserve">Variation %</t>
  </si>
  <si>
    <t xml:space="preserve">RÉSULTATS Y3 PAR SCÉNARIO</t>
  </si>
  <si>
    <t xml:space="preserve">SYNTHÈSE &amp; VERDICT</t>
  </si>
  <si>
    <t xml:space="preserve">Cash-out additionnel requis vs base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</si>
</sst>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#,##0;\(#,##0\);\-"/>
    <numFmt numFmtId="167" formatCode="#,##0&quot; FCFA&quot;;\(#,##0&quot; FCFA)&quot;;\-"/>
    <numFmt numFmtId="168" formatCode="#,##0.0,,&quot; M FCFA&quot;;\(#,##0.0,,&quot; M FCFA)&quot;;\-"/>
    <numFmt numFmtId="169" formatCode="#,##0.00,,,&quot; Md FCFA&quot;;\(#,##0.00,,,&quot; Md FCFA)&quot;;\-"/>
    <numFmt numFmtId="170" formatCode="0.0\x"/>
    <numFmt numFmtId="171" formatCode="#,##0.0;\(#,##0.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0"/>
      <color rgb="FF0A254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sz val="10"/>
      <color rgb="FF008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A2540"/>
        <bgColor rgb="FF003300"/>
      </patternFill>
    </fill>
    <fill>
      <patternFill patternType="solid">
        <fgColor rgb="FFFFF2CC"/>
        <bgColor rgb="FFF5EBD5"/>
      </patternFill>
    </fill>
    <fill>
      <patternFill patternType="solid">
        <fgColor rgb="FFFFFFFF"/>
        <bgColor rgb="FFFFF2CC"/>
      </patternFill>
    </fill>
    <fill>
      <patternFill patternType="solid">
        <fgColor rgb="FFF5EBD5"/>
        <bgColor rgb="FFFFF2CC"/>
      </patternFill>
    </fill>
    <fill>
      <patternFill patternType="solid">
        <fgColor rgb="FFC9A961"/>
        <bgColor rgb="FFBFBFB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0A2540"/>
      </left>
      <right style="medium">
        <color rgb="FF0A2540"/>
      </right>
      <top style="medium">
        <color rgb="FF0A2540"/>
      </top>
      <bottom style="medium">
        <color rgb="FF0A2540"/>
      </bottom>
      <diagonal/>
    </border>
    <border diagonalUp="false" diagonalDown="false">
      <left style="medium">
        <color rgb="FF0A2540"/>
      </left>
      <right/>
      <top style="medium">
        <color rgb="FF0A2540"/>
      </top>
      <bottom style="medium">
        <color rgb="FF0A25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BD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961"/>
      <rgbColor rgb="FF0A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5"/>
    <col collapsed="false" customWidth="true" hidden="false" outlineLevel="0" max="6" min="3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35.0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8" customFormat="false" ht="21.75" hidden="false" customHeight="true" outlineLevel="0" collapsed="false">
      <c r="A8" s="4" t="s">
        <v>9</v>
      </c>
      <c r="B8" s="4"/>
      <c r="C8" s="4"/>
      <c r="D8" s="4"/>
      <c r="E8" s="4"/>
      <c r="F8" s="4"/>
    </row>
    <row r="9" customFormat="false" ht="27.75" hidden="false" customHeight="true" outlineLevel="0" collapsed="false">
      <c r="A9" s="5" t="s">
        <v>10</v>
      </c>
      <c r="B9" s="5" t="s">
        <v>11</v>
      </c>
    </row>
    <row r="10" customFormat="false" ht="15" hidden="false" customHeight="true" outlineLevel="0" collapsed="false">
      <c r="A10" s="6" t="s">
        <v>12</v>
      </c>
      <c r="B10" s="7" t="s">
        <v>13</v>
      </c>
      <c r="C10" s="7"/>
      <c r="D10" s="7"/>
      <c r="E10" s="7"/>
      <c r="F10" s="7"/>
    </row>
    <row r="11" customFormat="false" ht="15" hidden="false" customHeight="true" outlineLevel="0" collapsed="false">
      <c r="A11" s="6" t="s">
        <v>14</v>
      </c>
      <c r="B11" s="7" t="s">
        <v>15</v>
      </c>
      <c r="C11" s="7"/>
      <c r="D11" s="7"/>
      <c r="E11" s="7"/>
      <c r="F11" s="7"/>
    </row>
    <row r="12" customFormat="false" ht="15" hidden="false" customHeight="true" outlineLevel="0" collapsed="false">
      <c r="A12" s="6" t="s">
        <v>16</v>
      </c>
      <c r="B12" s="7" t="s">
        <v>17</v>
      </c>
      <c r="C12" s="7"/>
      <c r="D12" s="7"/>
      <c r="E12" s="7"/>
      <c r="F12" s="7"/>
    </row>
    <row r="13" customFormat="false" ht="15" hidden="false" customHeight="true" outlineLevel="0" collapsed="false">
      <c r="A13" s="6" t="s">
        <v>18</v>
      </c>
      <c r="B13" s="7" t="s">
        <v>19</v>
      </c>
      <c r="C13" s="7"/>
      <c r="D13" s="7"/>
      <c r="E13" s="7"/>
      <c r="F13" s="7"/>
    </row>
    <row r="14" customFormat="false" ht="15" hidden="false" customHeight="true" outlineLevel="0" collapsed="false">
      <c r="A14" s="6" t="s">
        <v>20</v>
      </c>
      <c r="B14" s="7" t="s">
        <v>21</v>
      </c>
      <c r="C14" s="7"/>
      <c r="D14" s="7"/>
      <c r="E14" s="7"/>
      <c r="F14" s="7"/>
    </row>
    <row r="15" customFormat="false" ht="15" hidden="false" customHeight="true" outlineLevel="0" collapsed="false">
      <c r="A15" s="6" t="s">
        <v>22</v>
      </c>
      <c r="B15" s="7" t="s">
        <v>23</v>
      </c>
      <c r="C15" s="7"/>
      <c r="D15" s="7"/>
      <c r="E15" s="7"/>
      <c r="F15" s="7"/>
    </row>
    <row r="16" customFormat="false" ht="15" hidden="false" customHeight="true" outlineLevel="0" collapsed="false">
      <c r="A16" s="6" t="s">
        <v>24</v>
      </c>
      <c r="B16" s="7" t="s">
        <v>25</v>
      </c>
      <c r="C16" s="7"/>
      <c r="D16" s="7"/>
      <c r="E16" s="7"/>
      <c r="F16" s="7"/>
    </row>
    <row r="17" customFormat="false" ht="15" hidden="false" customHeight="true" outlineLevel="0" collapsed="false">
      <c r="A17" s="6" t="s">
        <v>26</v>
      </c>
      <c r="B17" s="7" t="s">
        <v>27</v>
      </c>
      <c r="C17" s="7"/>
      <c r="D17" s="7"/>
      <c r="E17" s="7"/>
      <c r="F17" s="7"/>
    </row>
    <row r="18" customFormat="false" ht="15" hidden="false" customHeight="true" outlineLevel="0" collapsed="false">
      <c r="A18" s="6" t="s">
        <v>28</v>
      </c>
      <c r="B18" s="7" t="s">
        <v>29</v>
      </c>
      <c r="C18" s="7"/>
      <c r="D18" s="7"/>
      <c r="E18" s="7"/>
      <c r="F18" s="7"/>
    </row>
    <row r="19" customFormat="false" ht="15" hidden="false" customHeight="true" outlineLevel="0" collapsed="false">
      <c r="A19" s="6" t="s">
        <v>30</v>
      </c>
      <c r="B19" s="7" t="s">
        <v>31</v>
      </c>
      <c r="C19" s="7"/>
      <c r="D19" s="7"/>
      <c r="E19" s="7"/>
      <c r="F19" s="7"/>
    </row>
    <row r="20" customFormat="false" ht="15" hidden="false" customHeight="true" outlineLevel="0" collapsed="false">
      <c r="A20" s="6" t="s">
        <v>32</v>
      </c>
      <c r="B20" s="7" t="s">
        <v>33</v>
      </c>
      <c r="C20" s="7"/>
      <c r="D20" s="7"/>
      <c r="E20" s="7"/>
      <c r="F20" s="7"/>
    </row>
    <row r="21" customFormat="false" ht="15" hidden="false" customHeight="true" outlineLevel="0" collapsed="false">
      <c r="A21" s="6" t="s">
        <v>34</v>
      </c>
      <c r="B21" s="7" t="s">
        <v>35</v>
      </c>
      <c r="C21" s="7"/>
      <c r="D21" s="7"/>
      <c r="E21" s="7"/>
      <c r="F21" s="7"/>
    </row>
    <row r="22" customFormat="false" ht="15" hidden="false" customHeight="true" outlineLevel="0" collapsed="false">
      <c r="A22" s="6" t="s">
        <v>36</v>
      </c>
      <c r="B22" s="7" t="s">
        <v>37</v>
      </c>
      <c r="C22" s="7"/>
      <c r="D22" s="7"/>
      <c r="E22" s="7"/>
      <c r="F22" s="7"/>
    </row>
    <row r="23" customFormat="false" ht="15" hidden="false" customHeight="true" outlineLevel="0" collapsed="false">
      <c r="A23" s="6" t="s">
        <v>38</v>
      </c>
      <c r="B23" s="7" t="s">
        <v>39</v>
      </c>
      <c r="C23" s="7"/>
      <c r="D23" s="7"/>
      <c r="E23" s="7"/>
      <c r="F23" s="7"/>
    </row>
    <row r="26" customFormat="false" ht="21.75" hidden="false" customHeight="true" outlineLevel="0" collapsed="false">
      <c r="A26" s="4" t="s">
        <v>40</v>
      </c>
      <c r="B26" s="4"/>
      <c r="C26" s="4"/>
      <c r="D26" s="4"/>
      <c r="E26" s="4"/>
      <c r="F26" s="4"/>
    </row>
    <row r="27" customFormat="false" ht="27.75" hidden="false" customHeight="true" outlineLevel="0" collapsed="false">
      <c r="A27" s="5" t="s">
        <v>41</v>
      </c>
      <c r="B27" s="5" t="s">
        <v>42</v>
      </c>
    </row>
    <row r="28" customFormat="false" ht="15" hidden="false" customHeight="true" outlineLevel="0" collapsed="false">
      <c r="A28" s="8" t="s">
        <v>43</v>
      </c>
      <c r="B28" s="7" t="s">
        <v>44</v>
      </c>
      <c r="C28" s="7"/>
      <c r="D28" s="7"/>
      <c r="E28" s="7"/>
      <c r="F28" s="7"/>
    </row>
    <row r="29" customFormat="false" ht="15" hidden="false" customHeight="true" outlineLevel="0" collapsed="false">
      <c r="A29" s="9" t="s">
        <v>45</v>
      </c>
      <c r="B29" s="7" t="s">
        <v>46</v>
      </c>
      <c r="C29" s="7"/>
      <c r="D29" s="7"/>
      <c r="E29" s="7"/>
      <c r="F29" s="7"/>
    </row>
    <row r="30" customFormat="false" ht="15" hidden="false" customHeight="true" outlineLevel="0" collapsed="false">
      <c r="A30" s="10" t="s">
        <v>47</v>
      </c>
      <c r="B30" s="7" t="s">
        <v>48</v>
      </c>
      <c r="C30" s="7"/>
      <c r="D30" s="7"/>
      <c r="E30" s="7"/>
      <c r="F30" s="7"/>
    </row>
    <row r="31" customFormat="false" ht="15" hidden="false" customHeight="true" outlineLevel="0" collapsed="false">
      <c r="A31" s="11" t="s">
        <v>49</v>
      </c>
      <c r="B31" s="7" t="s">
        <v>50</v>
      </c>
      <c r="C31" s="7"/>
      <c r="D31" s="7"/>
      <c r="E31" s="7"/>
      <c r="F31" s="7"/>
    </row>
    <row r="32" customFormat="false" ht="15" hidden="false" customHeight="true" outlineLevel="0" collapsed="false">
      <c r="A32" s="12" t="s">
        <v>51</v>
      </c>
      <c r="B32" s="7" t="s">
        <v>52</v>
      </c>
      <c r="C32" s="7"/>
      <c r="D32" s="7"/>
      <c r="E32" s="7"/>
      <c r="F32" s="7"/>
    </row>
    <row r="35" customFormat="false" ht="21.75" hidden="false" customHeight="true" outlineLevel="0" collapsed="false">
      <c r="A35" s="4" t="s">
        <v>53</v>
      </c>
      <c r="B35" s="4"/>
      <c r="C35" s="4"/>
      <c r="D35" s="4"/>
      <c r="E35" s="4"/>
      <c r="F35" s="4"/>
    </row>
    <row r="36" customFormat="false" ht="15" hidden="false" customHeight="true" outlineLevel="0" collapsed="false">
      <c r="A36" s="13" t="s">
        <v>54</v>
      </c>
      <c r="B36" s="13"/>
      <c r="C36" s="13"/>
      <c r="D36" s="13"/>
      <c r="E36" s="13"/>
      <c r="F36" s="13"/>
    </row>
    <row r="37" customFormat="false" ht="15" hidden="false" customHeight="true" outlineLevel="0" collapsed="false">
      <c r="A37" s="13" t="s">
        <v>55</v>
      </c>
      <c r="B37" s="13"/>
      <c r="C37" s="13"/>
      <c r="D37" s="13"/>
      <c r="E37" s="13"/>
      <c r="F37" s="13"/>
    </row>
    <row r="38" customFormat="false" ht="15" hidden="false" customHeight="true" outlineLevel="0" collapsed="false">
      <c r="A38" s="13" t="s">
        <v>56</v>
      </c>
      <c r="B38" s="13"/>
      <c r="C38" s="13"/>
      <c r="D38" s="13"/>
      <c r="E38" s="13"/>
      <c r="F38" s="13"/>
    </row>
    <row r="39" customFormat="false" ht="15" hidden="false" customHeight="true" outlineLevel="0" collapsed="false">
      <c r="A39" s="13" t="s">
        <v>57</v>
      </c>
      <c r="B39" s="13"/>
      <c r="C39" s="13"/>
      <c r="D39" s="13"/>
      <c r="E39" s="13"/>
      <c r="F39" s="13"/>
    </row>
    <row r="40" customFormat="false" ht="15" hidden="false" customHeight="true" outlineLevel="0" collapsed="false">
      <c r="A40" s="13" t="s">
        <v>58</v>
      </c>
      <c r="B40" s="13"/>
      <c r="C40" s="13"/>
      <c r="D40" s="13"/>
      <c r="E40" s="13"/>
      <c r="F40" s="13"/>
    </row>
    <row r="41" customFormat="false" ht="15" hidden="false" customHeight="true" outlineLevel="0" collapsed="false">
      <c r="A41" s="13" t="s">
        <v>59</v>
      </c>
      <c r="B41" s="13"/>
      <c r="C41" s="13"/>
      <c r="D41" s="13"/>
      <c r="E41" s="13"/>
      <c r="F41" s="13"/>
    </row>
    <row r="42" customFormat="false" ht="15" hidden="false" customHeight="true" outlineLevel="0" collapsed="false">
      <c r="A42" s="13" t="s">
        <v>60</v>
      </c>
      <c r="B42" s="13"/>
      <c r="C42" s="13"/>
      <c r="D42" s="13"/>
      <c r="E42" s="13"/>
      <c r="F42" s="13"/>
    </row>
  </sheetData>
  <mergeCells count="30">
    <mergeCell ref="A1:F1"/>
    <mergeCell ref="A8:F8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A26:F26"/>
    <mergeCell ref="B28:F28"/>
    <mergeCell ref="B29:F29"/>
    <mergeCell ref="B30:F30"/>
    <mergeCell ref="B31:F31"/>
    <mergeCell ref="B32:F32"/>
    <mergeCell ref="A35:F35"/>
    <mergeCell ref="A36:F36"/>
    <mergeCell ref="A37:F37"/>
    <mergeCell ref="A38:F38"/>
    <mergeCell ref="A39:F39"/>
    <mergeCell ref="A40:F40"/>
    <mergeCell ref="A41:F41"/>
    <mergeCell ref="A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8"/>
    <col collapsed="false" customWidth="true" hidden="false" outlineLevel="0" max="8" min="8" style="0" width="45"/>
  </cols>
  <sheetData>
    <row r="1" customFormat="false" ht="30" hidden="false" customHeight="true" outlineLevel="0" collapsed="false">
      <c r="A1" s="1" t="s">
        <v>61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5" t="s">
        <v>62</v>
      </c>
      <c r="B3" s="5" t="s">
        <v>63</v>
      </c>
      <c r="C3" s="5" t="s">
        <v>64</v>
      </c>
      <c r="D3" s="5" t="s">
        <v>65</v>
      </c>
      <c r="E3" s="5" t="s">
        <v>66</v>
      </c>
      <c r="F3" s="5" t="s">
        <v>67</v>
      </c>
      <c r="G3" s="5" t="s">
        <v>68</v>
      </c>
      <c r="H3" s="5" t="s">
        <v>69</v>
      </c>
    </row>
    <row r="4" customFormat="false" ht="19.5" hidden="false" customHeight="true" outlineLevel="0" collapsed="false">
      <c r="A4" s="14" t="s">
        <v>70</v>
      </c>
      <c r="B4" s="14"/>
      <c r="C4" s="14"/>
      <c r="D4" s="14"/>
      <c r="E4" s="14"/>
      <c r="F4" s="14"/>
      <c r="G4" s="14"/>
      <c r="H4" s="14"/>
    </row>
    <row r="5" customFormat="false" ht="15" hidden="false" customHeight="false" outlineLevel="0" collapsed="false">
      <c r="A5" s="6" t="s">
        <v>71</v>
      </c>
      <c r="B5" s="15" t="s">
        <v>72</v>
      </c>
      <c r="C5" s="16" t="n">
        <v>0.045</v>
      </c>
      <c r="D5" s="16" t="n">
        <v>0.04</v>
      </c>
      <c r="E5" s="16" t="n">
        <v>0.035</v>
      </c>
      <c r="F5" s="16" t="n">
        <v>0.035</v>
      </c>
      <c r="G5" s="16" t="n">
        <v>0.03</v>
      </c>
      <c r="H5" s="7" t="s">
        <v>73</v>
      </c>
    </row>
    <row r="6" customFormat="false" ht="15" hidden="false" customHeight="false" outlineLevel="0" collapsed="false">
      <c r="A6" s="6" t="s">
        <v>74</v>
      </c>
      <c r="B6" s="15" t="s">
        <v>72</v>
      </c>
      <c r="C6" s="16" t="n">
        <v>0.3</v>
      </c>
      <c r="D6" s="16" t="n">
        <v>0.3</v>
      </c>
      <c r="E6" s="16" t="n">
        <v>0.3</v>
      </c>
      <c r="F6" s="16" t="n">
        <v>0.3</v>
      </c>
      <c r="G6" s="16" t="n">
        <v>0.3</v>
      </c>
      <c r="H6" s="7" t="s">
        <v>75</v>
      </c>
    </row>
    <row r="7" customFormat="false" ht="15" hidden="false" customHeight="false" outlineLevel="0" collapsed="false">
      <c r="A7" s="6" t="s">
        <v>76</v>
      </c>
      <c r="B7" s="15" t="s">
        <v>72</v>
      </c>
      <c r="C7" s="16" t="n">
        <v>0.18</v>
      </c>
      <c r="D7" s="16" t="n">
        <v>0.18</v>
      </c>
      <c r="E7" s="16" t="n">
        <v>0.18</v>
      </c>
      <c r="F7" s="16" t="n">
        <v>0.18</v>
      </c>
      <c r="G7" s="16" t="n">
        <v>0.18</v>
      </c>
      <c r="H7" s="7" t="s">
        <v>77</v>
      </c>
    </row>
    <row r="8" customFormat="false" ht="15" hidden="false" customHeight="false" outlineLevel="0" collapsed="false">
      <c r="A8" s="6" t="s">
        <v>78</v>
      </c>
      <c r="B8" s="15" t="s">
        <v>72</v>
      </c>
      <c r="C8" s="16" t="n">
        <v>0.04</v>
      </c>
      <c r="D8" s="16" t="n">
        <v>0.04</v>
      </c>
      <c r="E8" s="16" t="n">
        <v>0.035</v>
      </c>
      <c r="F8" s="16" t="n">
        <v>0.035</v>
      </c>
      <c r="G8" s="16" t="n">
        <v>0.03</v>
      </c>
      <c r="H8" s="7" t="s">
        <v>79</v>
      </c>
    </row>
    <row r="9" customFormat="false" ht="19.5" hidden="false" customHeight="true" outlineLevel="0" collapsed="false">
      <c r="A9" s="14" t="s">
        <v>80</v>
      </c>
      <c r="B9" s="14"/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6" t="s">
        <v>81</v>
      </c>
      <c r="B10" s="15" t="s">
        <v>82</v>
      </c>
      <c r="C10" s="17" t="n">
        <v>28</v>
      </c>
      <c r="D10" s="17" t="n">
        <v>35</v>
      </c>
      <c r="E10" s="17" t="n">
        <v>42</v>
      </c>
      <c r="F10" s="17" t="n">
        <v>48</v>
      </c>
      <c r="G10" s="17" t="n">
        <v>55</v>
      </c>
      <c r="H10" s="7" t="s">
        <v>83</v>
      </c>
    </row>
    <row r="11" customFormat="false" ht="15" hidden="false" customHeight="false" outlineLevel="0" collapsed="false">
      <c r="A11" s="6" t="s">
        <v>84</v>
      </c>
      <c r="B11" s="15" t="s">
        <v>72</v>
      </c>
      <c r="C11" s="16" t="n">
        <v>0.32</v>
      </c>
      <c r="D11" s="16" t="n">
        <v>0.35</v>
      </c>
      <c r="E11" s="16" t="n">
        <v>0.38</v>
      </c>
      <c r="F11" s="16" t="n">
        <v>0.4</v>
      </c>
      <c r="G11" s="16" t="n">
        <v>0.42</v>
      </c>
      <c r="H11" s="7" t="s">
        <v>85</v>
      </c>
    </row>
    <row r="12" customFormat="false" ht="15" hidden="false" customHeight="false" outlineLevel="0" collapsed="false">
      <c r="A12" s="6" t="s">
        <v>86</v>
      </c>
      <c r="B12" s="15" t="s">
        <v>87</v>
      </c>
      <c r="C12" s="18" t="n">
        <v>3500000000</v>
      </c>
      <c r="D12" s="18" t="n">
        <v>4200000000</v>
      </c>
      <c r="E12" s="18" t="n">
        <v>5000000000</v>
      </c>
      <c r="F12" s="18" t="n">
        <v>5800000000</v>
      </c>
      <c r="G12" s="18" t="n">
        <v>6500000000</v>
      </c>
      <c r="H12" s="7" t="s">
        <v>88</v>
      </c>
    </row>
    <row r="13" customFormat="false" ht="15" hidden="false" customHeight="false" outlineLevel="0" collapsed="false">
      <c r="A13" s="6" t="s">
        <v>89</v>
      </c>
      <c r="B13" s="15" t="s">
        <v>90</v>
      </c>
      <c r="C13" s="17" t="n">
        <v>18</v>
      </c>
      <c r="D13" s="17" t="n">
        <v>20</v>
      </c>
      <c r="E13" s="17" t="n">
        <v>22</v>
      </c>
      <c r="F13" s="17" t="n">
        <v>24</v>
      </c>
      <c r="G13" s="17" t="n">
        <v>24</v>
      </c>
      <c r="H13" s="7" t="s">
        <v>91</v>
      </c>
    </row>
    <row r="14" customFormat="false" ht="15" hidden="false" customHeight="false" outlineLevel="0" collapsed="false">
      <c r="A14" s="6" t="s">
        <v>92</v>
      </c>
      <c r="B14" s="15" t="s">
        <v>87</v>
      </c>
      <c r="C14" s="18" t="n">
        <v>35000000000</v>
      </c>
      <c r="D14" s="18" t="n">
        <v>0</v>
      </c>
      <c r="E14" s="18" t="n">
        <v>0</v>
      </c>
      <c r="F14" s="18" t="n">
        <v>0</v>
      </c>
      <c r="G14" s="18" t="n">
        <v>0</v>
      </c>
      <c r="H14" s="7" t="s">
        <v>93</v>
      </c>
    </row>
    <row r="15" customFormat="false" ht="15" hidden="false" customHeight="false" outlineLevel="0" collapsed="false">
      <c r="A15" s="6" t="s">
        <v>94</v>
      </c>
      <c r="B15" s="15" t="s">
        <v>87</v>
      </c>
      <c r="C15" s="18" t="n">
        <v>4500000</v>
      </c>
      <c r="D15" s="18" t="n">
        <v>4800000</v>
      </c>
      <c r="E15" s="18" t="n">
        <v>5200000</v>
      </c>
      <c r="F15" s="18" t="n">
        <v>5500000</v>
      </c>
      <c r="G15" s="18" t="n">
        <v>5800000</v>
      </c>
      <c r="H15" s="7" t="s">
        <v>95</v>
      </c>
    </row>
    <row r="16" customFormat="false" ht="19.5" hidden="false" customHeight="true" outlineLevel="0" collapsed="false">
      <c r="A16" s="14" t="s">
        <v>96</v>
      </c>
      <c r="B16" s="14"/>
      <c r="C16" s="14"/>
      <c r="D16" s="14"/>
      <c r="E16" s="14"/>
      <c r="F16" s="14"/>
      <c r="G16" s="14"/>
      <c r="H16" s="14"/>
    </row>
    <row r="17" customFormat="false" ht="15" hidden="false" customHeight="false" outlineLevel="0" collapsed="false">
      <c r="A17" s="6" t="s">
        <v>97</v>
      </c>
      <c r="B17" s="15" t="s">
        <v>72</v>
      </c>
      <c r="C17" s="16" t="n">
        <v>0.14</v>
      </c>
      <c r="D17" s="16" t="n">
        <v>0.15</v>
      </c>
      <c r="E17" s="16" t="n">
        <v>0.16</v>
      </c>
      <c r="F17" s="16" t="n">
        <v>0.16</v>
      </c>
      <c r="G17" s="16" t="n">
        <v>0.17</v>
      </c>
      <c r="H17" s="7" t="s">
        <v>98</v>
      </c>
    </row>
    <row r="18" customFormat="false" ht="15" hidden="false" customHeight="false" outlineLevel="0" collapsed="false">
      <c r="A18" s="6" t="s">
        <v>99</v>
      </c>
      <c r="B18" s="15" t="s">
        <v>100</v>
      </c>
      <c r="C18" s="16" t="n">
        <v>0.08</v>
      </c>
      <c r="D18" s="16" t="n">
        <v>0.09</v>
      </c>
      <c r="E18" s="16" t="n">
        <v>0.1</v>
      </c>
      <c r="F18" s="16" t="n">
        <v>0.1</v>
      </c>
      <c r="G18" s="16" t="n">
        <v>0.1</v>
      </c>
      <c r="H18" s="7" t="s">
        <v>101</v>
      </c>
    </row>
    <row r="19" customFormat="false" ht="15" hidden="false" customHeight="false" outlineLevel="0" collapsed="false">
      <c r="A19" s="6" t="s">
        <v>102</v>
      </c>
      <c r="B19" s="15" t="s">
        <v>72</v>
      </c>
      <c r="C19" s="16" t="n">
        <v>0.18</v>
      </c>
      <c r="D19" s="16" t="n">
        <v>0.19</v>
      </c>
      <c r="E19" s="16" t="n">
        <v>0.2</v>
      </c>
      <c r="F19" s="16" t="n">
        <v>0.2</v>
      </c>
      <c r="G19" s="16" t="n">
        <v>0.2</v>
      </c>
      <c r="H19" s="7" t="s">
        <v>103</v>
      </c>
    </row>
    <row r="20" customFormat="false" ht="15" hidden="false" customHeight="false" outlineLevel="0" collapsed="false">
      <c r="A20" s="6" t="s">
        <v>104</v>
      </c>
      <c r="B20" s="15" t="s">
        <v>100</v>
      </c>
      <c r="C20" s="16" t="n">
        <v>0.015</v>
      </c>
      <c r="D20" s="16" t="n">
        <v>0.02</v>
      </c>
      <c r="E20" s="16" t="n">
        <v>0.02</v>
      </c>
      <c r="F20" s="16" t="n">
        <v>0.02</v>
      </c>
      <c r="G20" s="16" t="n">
        <v>0.02</v>
      </c>
      <c r="H20" s="7" t="s">
        <v>105</v>
      </c>
    </row>
    <row r="21" customFormat="false" ht="19.5" hidden="false" customHeight="true" outlineLevel="0" collapsed="false">
      <c r="A21" s="14" t="s">
        <v>106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false" outlineLevel="0" collapsed="false">
      <c r="A22" s="6" t="s">
        <v>107</v>
      </c>
      <c r="B22" s="15" t="s">
        <v>108</v>
      </c>
      <c r="C22" s="16" t="n">
        <v>0.36</v>
      </c>
      <c r="D22" s="16" t="n">
        <v>0.36</v>
      </c>
      <c r="E22" s="16" t="n">
        <v>0.35</v>
      </c>
      <c r="F22" s="16" t="n">
        <v>0.35</v>
      </c>
      <c r="G22" s="16" t="n">
        <v>0.35</v>
      </c>
      <c r="H22" s="7" t="s">
        <v>109</v>
      </c>
    </row>
    <row r="23" customFormat="false" ht="15" hidden="false" customHeight="false" outlineLevel="0" collapsed="false">
      <c r="A23" s="6" t="s">
        <v>110</v>
      </c>
      <c r="B23" s="15" t="s">
        <v>108</v>
      </c>
      <c r="C23" s="16" t="n">
        <v>0.22</v>
      </c>
      <c r="D23" s="16" t="n">
        <v>0.22</v>
      </c>
      <c r="E23" s="16" t="n">
        <v>0.21</v>
      </c>
      <c r="F23" s="16" t="n">
        <v>0.21</v>
      </c>
      <c r="G23" s="16" t="n">
        <v>0.2</v>
      </c>
      <c r="H23" s="7" t="s">
        <v>111</v>
      </c>
    </row>
    <row r="24" customFormat="false" ht="15" hidden="false" customHeight="false" outlineLevel="0" collapsed="false">
      <c r="A24" s="6" t="s">
        <v>112</v>
      </c>
      <c r="B24" s="15" t="s">
        <v>108</v>
      </c>
      <c r="C24" s="16" t="n">
        <v>0.22</v>
      </c>
      <c r="D24" s="16" t="n">
        <v>0.23</v>
      </c>
      <c r="E24" s="16" t="n">
        <v>0.24</v>
      </c>
      <c r="F24" s="16" t="n">
        <v>0.25</v>
      </c>
      <c r="G24" s="16" t="n">
        <v>0.26</v>
      </c>
      <c r="H24" s="7" t="s">
        <v>113</v>
      </c>
    </row>
    <row r="25" customFormat="false" ht="15" hidden="false" customHeight="false" outlineLevel="0" collapsed="false">
      <c r="A25" s="6" t="s">
        <v>114</v>
      </c>
      <c r="B25" s="15" t="s">
        <v>108</v>
      </c>
      <c r="C25" s="16" t="n">
        <v>0.1</v>
      </c>
      <c r="D25" s="16" t="n">
        <v>0.1</v>
      </c>
      <c r="E25" s="16" t="n">
        <v>0.11</v>
      </c>
      <c r="F25" s="16" t="n">
        <v>0.11</v>
      </c>
      <c r="G25" s="16" t="n">
        <v>0.12</v>
      </c>
      <c r="H25" s="7" t="s">
        <v>115</v>
      </c>
    </row>
    <row r="26" customFormat="false" ht="15" hidden="false" customHeight="false" outlineLevel="0" collapsed="false">
      <c r="A26" s="6" t="s">
        <v>116</v>
      </c>
      <c r="B26" s="15" t="s">
        <v>108</v>
      </c>
      <c r="C26" s="16" t="n">
        <v>0.1</v>
      </c>
      <c r="D26" s="16" t="n">
        <v>0.09</v>
      </c>
      <c r="E26" s="16" t="n">
        <v>0.09</v>
      </c>
      <c r="F26" s="16" t="n">
        <v>0.08</v>
      </c>
      <c r="G26" s="16" t="n">
        <v>0.07</v>
      </c>
      <c r="H26" s="7" t="s">
        <v>117</v>
      </c>
    </row>
    <row r="27" customFormat="false" ht="19.5" hidden="false" customHeight="true" outlineLevel="0" collapsed="false">
      <c r="A27" s="14" t="s">
        <v>118</v>
      </c>
      <c r="B27" s="14"/>
      <c r="C27" s="14"/>
      <c r="D27" s="14"/>
      <c r="E27" s="14"/>
      <c r="F27" s="14"/>
      <c r="G27" s="14"/>
      <c r="H27" s="14"/>
    </row>
    <row r="28" customFormat="false" ht="15" hidden="false" customHeight="false" outlineLevel="0" collapsed="false">
      <c r="A28" s="6" t="s">
        <v>119</v>
      </c>
      <c r="B28" s="15" t="s">
        <v>72</v>
      </c>
      <c r="C28" s="16" t="n">
        <v>0.08</v>
      </c>
      <c r="D28" s="16" t="n">
        <v>0.09</v>
      </c>
      <c r="E28" s="16" t="n">
        <v>0.1</v>
      </c>
      <c r="F28" s="16" t="n">
        <v>0.1</v>
      </c>
      <c r="G28" s="16" t="n">
        <v>0.1</v>
      </c>
      <c r="H28" s="7" t="s">
        <v>120</v>
      </c>
    </row>
    <row r="29" customFormat="false" ht="15" hidden="false" customHeight="false" outlineLevel="0" collapsed="false">
      <c r="A29" s="6" t="s">
        <v>121</v>
      </c>
      <c r="B29" s="15" t="s">
        <v>72</v>
      </c>
      <c r="C29" s="16" t="n">
        <v>0.25</v>
      </c>
      <c r="D29" s="16" t="n">
        <v>0.3</v>
      </c>
      <c r="E29" s="16" t="n">
        <v>0.32</v>
      </c>
      <c r="F29" s="16" t="n">
        <v>0.35</v>
      </c>
      <c r="G29" s="16" t="n">
        <v>0.35</v>
      </c>
      <c r="H29" s="7" t="s">
        <v>122</v>
      </c>
    </row>
    <row r="30" customFormat="false" ht="15" hidden="false" customHeight="false" outlineLevel="0" collapsed="false">
      <c r="A30" s="6" t="s">
        <v>123</v>
      </c>
      <c r="B30" s="15" t="s">
        <v>72</v>
      </c>
      <c r="C30" s="16" t="n">
        <v>0.55</v>
      </c>
      <c r="D30" s="16" t="n">
        <v>0.55</v>
      </c>
      <c r="E30" s="16" t="n">
        <v>0.55</v>
      </c>
      <c r="F30" s="16" t="n">
        <v>0.55</v>
      </c>
      <c r="G30" s="16" t="n">
        <v>0.55</v>
      </c>
      <c r="H30" s="7" t="s">
        <v>124</v>
      </c>
    </row>
    <row r="31" customFormat="false" ht="15" hidden="false" customHeight="false" outlineLevel="0" collapsed="false">
      <c r="A31" s="6" t="s">
        <v>125</v>
      </c>
      <c r="B31" s="15" t="s">
        <v>72</v>
      </c>
      <c r="C31" s="16" t="n">
        <v>0.05</v>
      </c>
      <c r="D31" s="16" t="n">
        <v>0.05</v>
      </c>
      <c r="E31" s="16" t="n">
        <v>0.05</v>
      </c>
      <c r="F31" s="16" t="n">
        <v>0.05</v>
      </c>
      <c r="G31" s="16" t="n">
        <v>0.05</v>
      </c>
      <c r="H31" s="7" t="s">
        <v>126</v>
      </c>
    </row>
    <row r="32" customFormat="false" ht="19.5" hidden="false" customHeight="true" outlineLevel="0" collapsed="false">
      <c r="A32" s="14" t="s">
        <v>127</v>
      </c>
      <c r="B32" s="14"/>
      <c r="C32" s="14"/>
      <c r="D32" s="14"/>
      <c r="E32" s="14"/>
      <c r="F32" s="14"/>
      <c r="G32" s="14"/>
      <c r="H32" s="14"/>
    </row>
    <row r="33" customFormat="false" ht="15" hidden="false" customHeight="false" outlineLevel="0" collapsed="false">
      <c r="A33" s="6" t="s">
        <v>128</v>
      </c>
      <c r="B33" s="15" t="s">
        <v>100</v>
      </c>
      <c r="C33" s="16" t="n">
        <v>0.15</v>
      </c>
      <c r="D33" s="16" t="n">
        <v>0.15</v>
      </c>
      <c r="E33" s="16" t="n">
        <v>0.15</v>
      </c>
      <c r="F33" s="16" t="n">
        <v>0.15</v>
      </c>
      <c r="G33" s="16" t="n">
        <v>0.15</v>
      </c>
      <c r="H33" s="7" t="s">
        <v>129</v>
      </c>
    </row>
    <row r="34" customFormat="false" ht="15" hidden="false" customHeight="false" outlineLevel="0" collapsed="false">
      <c r="A34" s="6" t="s">
        <v>130</v>
      </c>
      <c r="B34" s="15" t="s">
        <v>131</v>
      </c>
      <c r="C34" s="16" t="n">
        <v>0.07</v>
      </c>
      <c r="D34" s="16" t="n">
        <v>0.07</v>
      </c>
      <c r="E34" s="16" t="n">
        <v>0.07</v>
      </c>
      <c r="F34" s="16" t="n">
        <v>0.07</v>
      </c>
      <c r="G34" s="16" t="n">
        <v>0.07</v>
      </c>
      <c r="H34" s="7" t="s">
        <v>132</v>
      </c>
    </row>
    <row r="35" customFormat="false" ht="15" hidden="false" customHeight="false" outlineLevel="0" collapsed="false">
      <c r="A35" s="6" t="s">
        <v>133</v>
      </c>
      <c r="B35" s="15" t="s">
        <v>134</v>
      </c>
      <c r="C35" s="17" t="n">
        <v>12</v>
      </c>
      <c r="D35" s="17" t="n">
        <v>12</v>
      </c>
      <c r="E35" s="17" t="n">
        <v>12</v>
      </c>
      <c r="F35" s="17" t="n">
        <v>12</v>
      </c>
      <c r="G35" s="17" t="n">
        <v>12</v>
      </c>
      <c r="H35" s="7" t="s">
        <v>135</v>
      </c>
    </row>
    <row r="36" customFormat="false" ht="15" hidden="false" customHeight="false" outlineLevel="0" collapsed="false">
      <c r="A36" s="6" t="s">
        <v>136</v>
      </c>
      <c r="B36" s="15" t="s">
        <v>137</v>
      </c>
      <c r="C36" s="17" t="n">
        <v>120</v>
      </c>
      <c r="D36" s="17" t="n">
        <v>110</v>
      </c>
      <c r="E36" s="17" t="n">
        <v>100</v>
      </c>
      <c r="F36" s="17" t="n">
        <v>95</v>
      </c>
      <c r="G36" s="17" t="n">
        <v>90</v>
      </c>
      <c r="H36" s="7" t="s">
        <v>138</v>
      </c>
    </row>
    <row r="37" customFormat="false" ht="15" hidden="false" customHeight="false" outlineLevel="0" collapsed="false">
      <c r="A37" s="6" t="s">
        <v>139</v>
      </c>
      <c r="B37" s="15" t="s">
        <v>137</v>
      </c>
      <c r="C37" s="17" t="n">
        <v>60</v>
      </c>
      <c r="D37" s="17" t="n">
        <v>65</v>
      </c>
      <c r="E37" s="17" t="n">
        <v>65</v>
      </c>
      <c r="F37" s="17" t="n">
        <v>70</v>
      </c>
      <c r="G37" s="17" t="n">
        <v>70</v>
      </c>
      <c r="H37" s="7" t="s">
        <v>140</v>
      </c>
    </row>
    <row r="38" customFormat="false" ht="15" hidden="false" customHeight="false" outlineLevel="0" collapsed="false">
      <c r="A38" s="6" t="s">
        <v>141</v>
      </c>
      <c r="B38" s="15" t="s">
        <v>137</v>
      </c>
      <c r="C38" s="17" t="n">
        <v>75</v>
      </c>
      <c r="D38" s="17" t="n">
        <v>75</v>
      </c>
      <c r="E38" s="17" t="n">
        <v>75</v>
      </c>
      <c r="F38" s="17" t="n">
        <v>75</v>
      </c>
      <c r="G38" s="17" t="n">
        <v>75</v>
      </c>
      <c r="H38" s="7" t="s">
        <v>142</v>
      </c>
    </row>
    <row r="39" customFormat="false" ht="19.5" hidden="false" customHeight="true" outlineLevel="0" collapsed="false">
      <c r="A39" s="14" t="s">
        <v>143</v>
      </c>
      <c r="B39" s="14"/>
      <c r="C39" s="14"/>
      <c r="D39" s="14"/>
      <c r="E39" s="14"/>
      <c r="F39" s="14"/>
      <c r="G39" s="14"/>
      <c r="H39" s="14"/>
    </row>
    <row r="40" customFormat="false" ht="15" hidden="false" customHeight="false" outlineLevel="0" collapsed="false">
      <c r="A40" s="6" t="s">
        <v>144</v>
      </c>
      <c r="B40" s="15" t="s">
        <v>145</v>
      </c>
      <c r="C40" s="16" t="n">
        <v>0.015</v>
      </c>
      <c r="D40" s="16" t="n">
        <v>0.015</v>
      </c>
      <c r="E40" s="16" t="n">
        <v>0.015</v>
      </c>
      <c r="F40" s="16" t="n">
        <v>0.015</v>
      </c>
      <c r="G40" s="16" t="n">
        <v>0.015</v>
      </c>
      <c r="H40" s="7" t="s">
        <v>146</v>
      </c>
    </row>
    <row r="41" customFormat="false" ht="15" hidden="false" customHeight="false" outlineLevel="0" collapsed="false">
      <c r="A41" s="6" t="s">
        <v>147</v>
      </c>
      <c r="B41" s="15" t="s">
        <v>100</v>
      </c>
      <c r="C41" s="16" t="n">
        <v>0.15</v>
      </c>
      <c r="D41" s="16" t="n">
        <v>0.15</v>
      </c>
      <c r="E41" s="16" t="n">
        <v>0.15</v>
      </c>
      <c r="F41" s="16" t="n">
        <v>0.15</v>
      </c>
      <c r="G41" s="16" t="n">
        <v>0.15</v>
      </c>
      <c r="H41" s="7" t="s">
        <v>148</v>
      </c>
    </row>
    <row r="42" customFormat="false" ht="15" hidden="false" customHeight="false" outlineLevel="0" collapsed="false">
      <c r="A42" s="6" t="s">
        <v>149</v>
      </c>
      <c r="B42" s="15" t="s">
        <v>100</v>
      </c>
      <c r="C42" s="16" t="n">
        <v>0.05</v>
      </c>
      <c r="D42" s="16" t="n">
        <v>0.05</v>
      </c>
      <c r="E42" s="16" t="n">
        <v>0.05</v>
      </c>
      <c r="F42" s="16" t="n">
        <v>0.05</v>
      </c>
      <c r="G42" s="16" t="n">
        <v>0.05</v>
      </c>
      <c r="H42" s="7" t="s">
        <v>150</v>
      </c>
    </row>
    <row r="43" customFormat="false" ht="15" hidden="false" customHeight="false" outlineLevel="0" collapsed="false">
      <c r="A43" s="6" t="s">
        <v>151</v>
      </c>
      <c r="B43" s="15" t="s">
        <v>131</v>
      </c>
      <c r="C43" s="16" t="n">
        <v>0.07</v>
      </c>
      <c r="D43" s="16" t="n">
        <v>0.07</v>
      </c>
      <c r="E43" s="16" t="n">
        <v>0.07</v>
      </c>
      <c r="F43" s="16" t="n">
        <v>0.07</v>
      </c>
      <c r="G43" s="16" t="n">
        <v>0.07</v>
      </c>
      <c r="H43" s="7" t="s">
        <v>152</v>
      </c>
    </row>
    <row r="44" customFormat="false" ht="15" hidden="false" customHeight="false" outlineLevel="0" collapsed="false">
      <c r="A44" s="6" t="s">
        <v>153</v>
      </c>
      <c r="B44" s="15" t="s">
        <v>72</v>
      </c>
      <c r="C44" s="16" t="n">
        <v>0.025</v>
      </c>
      <c r="D44" s="16" t="n">
        <v>0.024</v>
      </c>
      <c r="E44" s="16" t="n">
        <v>0.023</v>
      </c>
      <c r="F44" s="16" t="n">
        <v>0.022</v>
      </c>
      <c r="G44" s="16" t="n">
        <v>0.02</v>
      </c>
      <c r="H44" s="7" t="s">
        <v>154</v>
      </c>
    </row>
    <row r="45" customFormat="false" ht="15" hidden="false" customHeight="false" outlineLevel="0" collapsed="false">
      <c r="A45" s="6" t="s">
        <v>155</v>
      </c>
      <c r="B45" s="15" t="s">
        <v>156</v>
      </c>
      <c r="C45" s="16" t="n">
        <v>0.2</v>
      </c>
      <c r="D45" s="16" t="n">
        <v>0.18</v>
      </c>
      <c r="E45" s="16" t="n">
        <v>0.15</v>
      </c>
      <c r="F45" s="16" t="n">
        <v>0.12</v>
      </c>
      <c r="G45" s="16" t="n">
        <v>0.1</v>
      </c>
      <c r="H45" s="7" t="s">
        <v>157</v>
      </c>
    </row>
    <row r="46" customFormat="false" ht="19.5" hidden="false" customHeight="true" outlineLevel="0" collapsed="false">
      <c r="A46" s="14" t="s">
        <v>158</v>
      </c>
      <c r="B46" s="14"/>
      <c r="C46" s="14"/>
      <c r="D46" s="14"/>
      <c r="E46" s="14"/>
      <c r="F46" s="14"/>
      <c r="G46" s="14"/>
      <c r="H46" s="14"/>
    </row>
    <row r="47" customFormat="false" ht="15" hidden="false" customHeight="false" outlineLevel="0" collapsed="false">
      <c r="A47" s="6" t="s">
        <v>159</v>
      </c>
      <c r="B47" s="15" t="s">
        <v>87</v>
      </c>
      <c r="C47" s="18" t="n">
        <v>4500000000</v>
      </c>
      <c r="D47" s="18" t="n">
        <v>0</v>
      </c>
      <c r="E47" s="18" t="n">
        <v>0</v>
      </c>
      <c r="F47" s="18" t="n">
        <v>0</v>
      </c>
      <c r="G47" s="18" t="n">
        <v>0</v>
      </c>
      <c r="H47" s="7" t="s">
        <v>160</v>
      </c>
    </row>
    <row r="48" customFormat="false" ht="15" hidden="false" customHeight="false" outlineLevel="0" collapsed="false">
      <c r="A48" s="6" t="s">
        <v>161</v>
      </c>
      <c r="B48" s="15" t="s">
        <v>87</v>
      </c>
      <c r="C48" s="18" t="n">
        <v>800000000</v>
      </c>
      <c r="D48" s="18" t="n">
        <v>1200000000</v>
      </c>
      <c r="E48" s="18" t="n">
        <v>1500000000</v>
      </c>
      <c r="F48" s="18" t="n">
        <v>1500000000</v>
      </c>
      <c r="G48" s="18" t="n">
        <v>1800000000</v>
      </c>
      <c r="H48" s="7" t="s">
        <v>162</v>
      </c>
    </row>
    <row r="49" customFormat="false" ht="15" hidden="false" customHeight="false" outlineLevel="0" collapsed="false">
      <c r="A49" s="6" t="s">
        <v>163</v>
      </c>
      <c r="B49" s="15" t="s">
        <v>164</v>
      </c>
      <c r="C49" s="17" t="n">
        <v>7</v>
      </c>
      <c r="D49" s="17" t="n">
        <v>7</v>
      </c>
      <c r="E49" s="17" t="n">
        <v>7</v>
      </c>
      <c r="F49" s="17" t="n">
        <v>7</v>
      </c>
      <c r="G49" s="17" t="n">
        <v>7</v>
      </c>
      <c r="H49" s="7" t="s">
        <v>165</v>
      </c>
    </row>
    <row r="50" customFormat="false" ht="15" hidden="false" customHeight="false" outlineLevel="0" collapsed="false">
      <c r="A50" s="6" t="s">
        <v>166</v>
      </c>
      <c r="B50" s="15" t="s">
        <v>87</v>
      </c>
      <c r="C50" s="18" t="n">
        <v>95000000</v>
      </c>
      <c r="D50" s="18" t="n">
        <v>110000000</v>
      </c>
      <c r="E50" s="18" t="n">
        <v>125000000</v>
      </c>
      <c r="F50" s="18" t="n">
        <v>140000000</v>
      </c>
      <c r="G50" s="18" t="n">
        <v>155000000</v>
      </c>
      <c r="H50" s="7" t="s">
        <v>167</v>
      </c>
    </row>
    <row r="51" customFormat="false" ht="15" hidden="false" customHeight="false" outlineLevel="0" collapsed="false">
      <c r="A51" s="6" t="s">
        <v>168</v>
      </c>
      <c r="B51" s="15" t="s">
        <v>87</v>
      </c>
      <c r="C51" s="18" t="n">
        <v>550000000</v>
      </c>
      <c r="D51" s="18" t="n">
        <v>720000000</v>
      </c>
      <c r="E51" s="18" t="n">
        <v>880000000</v>
      </c>
      <c r="F51" s="18" t="n">
        <v>1020000000</v>
      </c>
      <c r="G51" s="18" t="n">
        <v>1150000000</v>
      </c>
      <c r="H51" s="7" t="s">
        <v>169</v>
      </c>
    </row>
    <row r="52" customFormat="false" ht="15" hidden="false" customHeight="false" outlineLevel="0" collapsed="false">
      <c r="A52" s="6" t="s">
        <v>170</v>
      </c>
      <c r="B52" s="15" t="s">
        <v>72</v>
      </c>
      <c r="C52" s="16" t="n">
        <v>0.65</v>
      </c>
      <c r="D52" s="16" t="n">
        <v>0.7</v>
      </c>
      <c r="E52" s="16" t="n">
        <v>0.72</v>
      </c>
      <c r="F52" s="16" t="n">
        <v>0.75</v>
      </c>
      <c r="G52" s="16" t="n">
        <v>0.75</v>
      </c>
      <c r="H52" s="7" t="s">
        <v>171</v>
      </c>
    </row>
    <row r="53" customFormat="false" ht="19.5" hidden="false" customHeight="true" outlineLevel="0" collapsed="false">
      <c r="A53" s="14" t="s">
        <v>172</v>
      </c>
      <c r="B53" s="14"/>
      <c r="C53" s="14"/>
      <c r="D53" s="14"/>
      <c r="E53" s="14"/>
      <c r="F53" s="14"/>
      <c r="G53" s="14"/>
      <c r="H53" s="14"/>
    </row>
    <row r="54" customFormat="false" ht="15" hidden="false" customHeight="false" outlineLevel="0" collapsed="false">
      <c r="A54" s="6" t="s">
        <v>173</v>
      </c>
      <c r="B54" s="15" t="s">
        <v>174</v>
      </c>
      <c r="C54" s="17" t="n">
        <v>12</v>
      </c>
      <c r="D54" s="17" t="n">
        <v>14</v>
      </c>
      <c r="E54" s="17" t="n">
        <v>16</v>
      </c>
      <c r="F54" s="17" t="n">
        <v>18</v>
      </c>
      <c r="G54" s="17" t="n">
        <v>20</v>
      </c>
      <c r="H54" s="7" t="s">
        <v>175</v>
      </c>
    </row>
    <row r="55" customFormat="false" ht="15" hidden="false" customHeight="false" outlineLevel="0" collapsed="false">
      <c r="A55" s="6" t="s">
        <v>176</v>
      </c>
      <c r="B55" s="15" t="s">
        <v>177</v>
      </c>
      <c r="C55" s="18" t="n">
        <v>2200000</v>
      </c>
      <c r="D55" s="18" t="n">
        <v>2300000</v>
      </c>
      <c r="E55" s="18" t="n">
        <v>2400000</v>
      </c>
      <c r="F55" s="18" t="n">
        <v>2500000</v>
      </c>
      <c r="G55" s="18" t="n">
        <v>2600000</v>
      </c>
      <c r="H55" s="7" t="s">
        <v>178</v>
      </c>
    </row>
    <row r="56" customFormat="false" ht="15" hidden="false" customHeight="false" outlineLevel="0" collapsed="false">
      <c r="A56" s="6" t="s">
        <v>179</v>
      </c>
      <c r="B56" s="15" t="s">
        <v>174</v>
      </c>
      <c r="C56" s="17" t="n">
        <v>18</v>
      </c>
      <c r="D56" s="17" t="n">
        <v>22</v>
      </c>
      <c r="E56" s="17" t="n">
        <v>26</v>
      </c>
      <c r="F56" s="17" t="n">
        <v>30</v>
      </c>
      <c r="G56" s="17" t="n">
        <v>32</v>
      </c>
      <c r="H56" s="7" t="s">
        <v>180</v>
      </c>
    </row>
    <row r="57" customFormat="false" ht="15" hidden="false" customHeight="false" outlineLevel="0" collapsed="false">
      <c r="A57" s="6" t="s">
        <v>181</v>
      </c>
      <c r="B57" s="15" t="s">
        <v>177</v>
      </c>
      <c r="C57" s="18" t="n">
        <v>1450000</v>
      </c>
      <c r="D57" s="18" t="n">
        <v>1500000</v>
      </c>
      <c r="E57" s="18" t="n">
        <v>1550000</v>
      </c>
      <c r="F57" s="18" t="n">
        <v>1600000</v>
      </c>
      <c r="G57" s="18" t="n">
        <v>1650000</v>
      </c>
      <c r="H57" s="7" t="s">
        <v>178</v>
      </c>
    </row>
    <row r="58" customFormat="false" ht="15" hidden="false" customHeight="false" outlineLevel="0" collapsed="false">
      <c r="A58" s="6" t="s">
        <v>182</v>
      </c>
      <c r="B58" s="15" t="s">
        <v>174</v>
      </c>
      <c r="C58" s="17" t="n">
        <v>32</v>
      </c>
      <c r="D58" s="17" t="n">
        <v>40</v>
      </c>
      <c r="E58" s="17" t="n">
        <v>48</v>
      </c>
      <c r="F58" s="17" t="n">
        <v>56</v>
      </c>
      <c r="G58" s="17" t="n">
        <v>62</v>
      </c>
      <c r="H58" s="7" t="s">
        <v>183</v>
      </c>
    </row>
    <row r="59" customFormat="false" ht="15" hidden="false" customHeight="false" outlineLevel="0" collapsed="false">
      <c r="A59" s="6" t="s">
        <v>184</v>
      </c>
      <c r="B59" s="15" t="s">
        <v>177</v>
      </c>
      <c r="C59" s="18" t="n">
        <v>1250000</v>
      </c>
      <c r="D59" s="18" t="n">
        <v>1300000</v>
      </c>
      <c r="E59" s="18" t="n">
        <v>1350000</v>
      </c>
      <c r="F59" s="18" t="n">
        <v>1400000</v>
      </c>
      <c r="G59" s="18" t="n">
        <v>1450000</v>
      </c>
      <c r="H59" s="7" t="s">
        <v>178</v>
      </c>
    </row>
    <row r="60" customFormat="false" ht="15" hidden="false" customHeight="false" outlineLevel="0" collapsed="false">
      <c r="A60" s="6" t="s">
        <v>185</v>
      </c>
      <c r="B60" s="15" t="s">
        <v>174</v>
      </c>
      <c r="C60" s="17" t="n">
        <v>22</v>
      </c>
      <c r="D60" s="17" t="n">
        <v>26</v>
      </c>
      <c r="E60" s="17" t="n">
        <v>30</v>
      </c>
      <c r="F60" s="17" t="n">
        <v>34</v>
      </c>
      <c r="G60" s="17" t="n">
        <v>38</v>
      </c>
      <c r="H60" s="7" t="s">
        <v>186</v>
      </c>
    </row>
    <row r="61" customFormat="false" ht="15" hidden="false" customHeight="false" outlineLevel="0" collapsed="false">
      <c r="A61" s="6" t="s">
        <v>187</v>
      </c>
      <c r="B61" s="15" t="s">
        <v>177</v>
      </c>
      <c r="C61" s="18" t="n">
        <v>950000</v>
      </c>
      <c r="D61" s="18" t="n">
        <v>1000000</v>
      </c>
      <c r="E61" s="18" t="n">
        <v>1050000</v>
      </c>
      <c r="F61" s="18" t="n">
        <v>1100000</v>
      </c>
      <c r="G61" s="18" t="n">
        <v>1150000</v>
      </c>
      <c r="H61" s="7" t="s">
        <v>178</v>
      </c>
    </row>
    <row r="62" customFormat="false" ht="19.5" hidden="false" customHeight="true" outlineLevel="0" collapsed="false">
      <c r="A62" s="14" t="s">
        <v>188</v>
      </c>
      <c r="B62" s="14"/>
      <c r="C62" s="14"/>
      <c r="D62" s="14"/>
      <c r="E62" s="14"/>
      <c r="F62" s="14"/>
      <c r="G62" s="14"/>
      <c r="H62" s="14"/>
    </row>
    <row r="63" customFormat="false" ht="15" hidden="false" customHeight="false" outlineLevel="0" collapsed="false">
      <c r="A63" s="6" t="s">
        <v>189</v>
      </c>
      <c r="B63" s="15" t="s">
        <v>87</v>
      </c>
      <c r="C63" s="18" t="n">
        <v>22000000</v>
      </c>
      <c r="D63" s="18" t="n">
        <v>24000000</v>
      </c>
      <c r="E63" s="18" t="n">
        <v>26000000</v>
      </c>
      <c r="F63" s="18" t="n">
        <v>28000000</v>
      </c>
      <c r="G63" s="18" t="n">
        <v>30000000</v>
      </c>
      <c r="H63" s="7" t="s">
        <v>190</v>
      </c>
    </row>
    <row r="64" customFormat="false" ht="15" hidden="false" customHeight="false" outlineLevel="0" collapsed="false">
      <c r="A64" s="6" t="s">
        <v>191</v>
      </c>
      <c r="B64" s="15" t="s">
        <v>87</v>
      </c>
      <c r="C64" s="18" t="n">
        <v>180000000</v>
      </c>
      <c r="D64" s="18" t="n">
        <v>210000000</v>
      </c>
      <c r="E64" s="18" t="n">
        <v>240000000</v>
      </c>
      <c r="F64" s="18" t="n">
        <v>270000000</v>
      </c>
      <c r="G64" s="18" t="n">
        <v>300000000</v>
      </c>
      <c r="H64" s="7" t="s">
        <v>192</v>
      </c>
    </row>
    <row r="65" customFormat="false" ht="15" hidden="false" customHeight="false" outlineLevel="0" collapsed="false">
      <c r="A65" s="6" t="s">
        <v>193</v>
      </c>
      <c r="B65" s="15" t="s">
        <v>87</v>
      </c>
      <c r="C65" s="18" t="n">
        <v>8500000</v>
      </c>
      <c r="D65" s="18" t="n">
        <v>9500000</v>
      </c>
      <c r="E65" s="18" t="n">
        <v>11000000</v>
      </c>
      <c r="F65" s="18" t="n">
        <v>12500000</v>
      </c>
      <c r="G65" s="18" t="n">
        <v>14000000</v>
      </c>
      <c r="H65" s="7" t="s">
        <v>194</v>
      </c>
    </row>
    <row r="66" customFormat="false" ht="15" hidden="false" customHeight="false" outlineLevel="0" collapsed="false">
      <c r="A66" s="6" t="s">
        <v>195</v>
      </c>
      <c r="B66" s="15" t="s">
        <v>87</v>
      </c>
      <c r="C66" s="18" t="n">
        <v>95000000</v>
      </c>
      <c r="D66" s="18" t="n">
        <v>110000000</v>
      </c>
      <c r="E66" s="18" t="n">
        <v>125000000</v>
      </c>
      <c r="F66" s="18" t="n">
        <v>140000000</v>
      </c>
      <c r="G66" s="18" t="n">
        <v>155000000</v>
      </c>
      <c r="H66" s="7" t="s">
        <v>196</v>
      </c>
    </row>
    <row r="67" customFormat="false" ht="15" hidden="false" customHeight="false" outlineLevel="0" collapsed="false">
      <c r="A67" s="6" t="s">
        <v>197</v>
      </c>
      <c r="B67" s="15" t="s">
        <v>87</v>
      </c>
      <c r="C67" s="18" t="n">
        <v>120000000</v>
      </c>
      <c r="D67" s="18" t="n">
        <v>145000000</v>
      </c>
      <c r="E67" s="18" t="n">
        <v>170000000</v>
      </c>
      <c r="F67" s="18" t="n">
        <v>195000000</v>
      </c>
      <c r="G67" s="18" t="n">
        <v>220000000</v>
      </c>
      <c r="H67" s="7" t="s">
        <v>198</v>
      </c>
    </row>
    <row r="68" customFormat="false" ht="15" hidden="false" customHeight="false" outlineLevel="0" collapsed="false">
      <c r="A68" s="6" t="s">
        <v>199</v>
      </c>
      <c r="B68" s="15" t="s">
        <v>87</v>
      </c>
      <c r="C68" s="18" t="n">
        <v>65000000</v>
      </c>
      <c r="D68" s="18" t="n">
        <v>75000000</v>
      </c>
      <c r="E68" s="18" t="n">
        <v>90000000</v>
      </c>
      <c r="F68" s="18" t="n">
        <v>105000000</v>
      </c>
      <c r="G68" s="18" t="n">
        <v>120000000</v>
      </c>
      <c r="H68" s="7" t="s">
        <v>200</v>
      </c>
    </row>
    <row r="69" customFormat="false" ht="15" hidden="false" customHeight="false" outlineLevel="0" collapsed="false">
      <c r="A69" s="6" t="s">
        <v>201</v>
      </c>
      <c r="B69" s="15" t="s">
        <v>87</v>
      </c>
      <c r="C69" s="18" t="n">
        <v>12000000</v>
      </c>
      <c r="D69" s="18" t="n">
        <v>14000000</v>
      </c>
      <c r="E69" s="18" t="n">
        <v>16000000</v>
      </c>
      <c r="F69" s="18" t="n">
        <v>18000000</v>
      </c>
      <c r="G69" s="18" t="n">
        <v>20000000</v>
      </c>
      <c r="H69" s="7" t="s">
        <v>202</v>
      </c>
    </row>
    <row r="70" customFormat="false" ht="19.5" hidden="false" customHeight="true" outlineLevel="0" collapsed="false">
      <c r="A70" s="14" t="s">
        <v>203</v>
      </c>
      <c r="B70" s="14"/>
      <c r="C70" s="14"/>
      <c r="D70" s="14"/>
      <c r="E70" s="14"/>
      <c r="F70" s="14"/>
      <c r="G70" s="14"/>
      <c r="H70" s="14"/>
    </row>
    <row r="71" customFormat="false" ht="15" hidden="false" customHeight="false" outlineLevel="0" collapsed="false">
      <c r="A71" s="6" t="s">
        <v>204</v>
      </c>
      <c r="B71" s="15" t="s">
        <v>87</v>
      </c>
      <c r="C71" s="18" t="n">
        <v>6500000000</v>
      </c>
      <c r="D71" s="18" t="n">
        <v>0</v>
      </c>
      <c r="E71" s="18" t="n">
        <v>0</v>
      </c>
      <c r="F71" s="18" t="n">
        <v>0</v>
      </c>
      <c r="G71" s="18" t="n">
        <v>0</v>
      </c>
      <c r="H71" s="7" t="s">
        <v>205</v>
      </c>
    </row>
    <row r="72" customFormat="false" ht="15" hidden="false" customHeight="false" outlineLevel="0" collapsed="false">
      <c r="A72" s="6" t="s">
        <v>206</v>
      </c>
      <c r="B72" s="15" t="s">
        <v>87</v>
      </c>
      <c r="C72" s="18" t="n">
        <v>3500000000</v>
      </c>
      <c r="D72" s="18" t="n">
        <v>0</v>
      </c>
      <c r="E72" s="18" t="n">
        <v>0</v>
      </c>
      <c r="F72" s="18" t="n">
        <v>0</v>
      </c>
      <c r="G72" s="18" t="n">
        <v>0</v>
      </c>
      <c r="H72" s="7" t="s">
        <v>207</v>
      </c>
    </row>
    <row r="73" customFormat="false" ht="15" hidden="false" customHeight="false" outlineLevel="0" collapsed="false">
      <c r="A73" s="6" t="s">
        <v>208</v>
      </c>
      <c r="B73" s="15" t="s">
        <v>72</v>
      </c>
      <c r="C73" s="16" t="n">
        <v>0.085</v>
      </c>
      <c r="D73" s="16" t="n">
        <v>0.085</v>
      </c>
      <c r="E73" s="16" t="n">
        <v>0.082</v>
      </c>
      <c r="F73" s="16" t="n">
        <v>0.08</v>
      </c>
      <c r="G73" s="16" t="n">
        <v>0.078</v>
      </c>
      <c r="H73" s="7" t="s">
        <v>209</v>
      </c>
    </row>
    <row r="74" customFormat="false" ht="15" hidden="false" customHeight="false" outlineLevel="0" collapsed="false">
      <c r="A74" s="6" t="s">
        <v>210</v>
      </c>
      <c r="B74" s="15" t="s">
        <v>87</v>
      </c>
      <c r="C74" s="18" t="n">
        <v>2500000000</v>
      </c>
      <c r="D74" s="18" t="n">
        <v>3500000000</v>
      </c>
      <c r="E74" s="18" t="n">
        <v>4500000000</v>
      </c>
      <c r="F74" s="18" t="n">
        <v>5000000000</v>
      </c>
      <c r="G74" s="18" t="n">
        <v>5500000000</v>
      </c>
      <c r="H74" s="7" t="s">
        <v>211</v>
      </c>
    </row>
    <row r="75" customFormat="false" ht="15" hidden="false" customHeight="false" outlineLevel="0" collapsed="false">
      <c r="A75" s="6" t="s">
        <v>212</v>
      </c>
      <c r="B75" s="15" t="s">
        <v>72</v>
      </c>
      <c r="C75" s="16" t="n">
        <v>0.115</v>
      </c>
      <c r="D75" s="16" t="n">
        <v>0.115</v>
      </c>
      <c r="E75" s="16" t="n">
        <v>0.112</v>
      </c>
      <c r="F75" s="16" t="n">
        <v>0.11</v>
      </c>
      <c r="G75" s="16" t="n">
        <v>0.108</v>
      </c>
      <c r="H75" s="7" t="s">
        <v>213</v>
      </c>
    </row>
    <row r="76" customFormat="false" ht="15" hidden="false" customHeight="false" outlineLevel="0" collapsed="false">
      <c r="A76" s="6" t="s">
        <v>214</v>
      </c>
      <c r="B76" s="15" t="s">
        <v>87</v>
      </c>
      <c r="C76" s="18" t="n">
        <v>1800000000</v>
      </c>
      <c r="D76" s="18" t="n">
        <v>0</v>
      </c>
      <c r="E76" s="18" t="n">
        <v>0</v>
      </c>
      <c r="F76" s="18" t="n">
        <v>0</v>
      </c>
      <c r="G76" s="18" t="n">
        <v>0</v>
      </c>
      <c r="H76" s="7" t="s">
        <v>215</v>
      </c>
    </row>
  </sheetData>
  <mergeCells count="12">
    <mergeCell ref="A1:H1"/>
    <mergeCell ref="A4:H4"/>
    <mergeCell ref="A9:H9"/>
    <mergeCell ref="A16:H16"/>
    <mergeCell ref="A21:H21"/>
    <mergeCell ref="A27:H27"/>
    <mergeCell ref="A32:H32"/>
    <mergeCell ref="A39:H39"/>
    <mergeCell ref="A46:H46"/>
    <mergeCell ref="A53:H53"/>
    <mergeCell ref="A62:H62"/>
    <mergeCell ref="A70:H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8"/>
    <col collapsed="false" customWidth="true" hidden="false" outlineLevel="0" max="8" min="8" style="0" width="38"/>
  </cols>
  <sheetData>
    <row r="1" customFormat="false" ht="30" hidden="false" customHeight="true" outlineLevel="0" collapsed="false">
      <c r="A1" s="1" t="s">
        <v>216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5" t="s">
        <v>217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  <c r="G3" s="5"/>
      <c r="H3" s="5" t="s">
        <v>69</v>
      </c>
    </row>
    <row r="4" customFormat="false" ht="19.5" hidden="false" customHeight="true" outlineLevel="0" collapsed="false">
      <c r="A4" s="14" t="s">
        <v>218</v>
      </c>
      <c r="B4" s="14"/>
      <c r="C4" s="14"/>
      <c r="D4" s="14"/>
      <c r="E4" s="14"/>
      <c r="F4" s="14"/>
      <c r="G4" s="14"/>
      <c r="H4" s="14"/>
    </row>
    <row r="5" customFormat="false" ht="15" hidden="false" customHeight="false" outlineLevel="0" collapsed="false">
      <c r="A5" s="6" t="s">
        <v>219</v>
      </c>
      <c r="B5" s="19" t="n">
        <f aca="false">'2. Hypothèses'!$C$10</f>
        <v>28</v>
      </c>
      <c r="C5" s="19" t="n">
        <f aca="false">'2. Hypothèses'!$D$10</f>
        <v>35</v>
      </c>
      <c r="D5" s="19" t="n">
        <f aca="false">'2. Hypothèses'!$E$10</f>
        <v>42</v>
      </c>
      <c r="E5" s="19" t="n">
        <f aca="false">'2. Hypothèses'!$F$10</f>
        <v>48</v>
      </c>
      <c r="F5" s="19" t="n">
        <f aca="false">'2. Hypothèses'!$G$10</f>
        <v>55</v>
      </c>
      <c r="H5" s="7" t="s">
        <v>81</v>
      </c>
    </row>
    <row r="6" customFormat="false" ht="15" hidden="false" customHeight="false" outlineLevel="0" collapsed="false">
      <c r="A6" s="6" t="s">
        <v>220</v>
      </c>
      <c r="B6" s="20" t="n">
        <f aca="false">'2. Hypothèses'!$C$11</f>
        <v>0.32</v>
      </c>
      <c r="C6" s="20" t="n">
        <f aca="false">'2. Hypothèses'!$D$11</f>
        <v>0.35</v>
      </c>
      <c r="D6" s="20" t="n">
        <f aca="false">'2. Hypothèses'!$E$11</f>
        <v>0.38</v>
      </c>
      <c r="E6" s="20" t="n">
        <f aca="false">'2. Hypothèses'!$F$11</f>
        <v>0.4</v>
      </c>
      <c r="F6" s="20" t="n">
        <f aca="false">'2. Hypothèses'!$G$11</f>
        <v>0.42</v>
      </c>
      <c r="H6" s="7" t="s">
        <v>221</v>
      </c>
    </row>
    <row r="7" customFormat="false" ht="15" hidden="false" customHeight="false" outlineLevel="0" collapsed="false">
      <c r="A7" s="6" t="s">
        <v>222</v>
      </c>
      <c r="B7" s="21" t="n">
        <f aca="false">ROUND(B5*B6,0)</f>
        <v>9</v>
      </c>
      <c r="C7" s="21" t="n">
        <f aca="false">ROUND(C5*C6,0)</f>
        <v>12</v>
      </c>
      <c r="D7" s="21" t="n">
        <f aca="false">ROUND(D5*D6,0)</f>
        <v>16</v>
      </c>
      <c r="E7" s="21" t="n">
        <f aca="false">ROUND(E5*E6,0)</f>
        <v>19</v>
      </c>
      <c r="F7" s="21" t="n">
        <f aca="false">ROUND(F5*F6,0)</f>
        <v>23</v>
      </c>
      <c r="H7" s="7" t="s">
        <v>223</v>
      </c>
    </row>
    <row r="8" customFormat="false" ht="15" hidden="false" customHeight="false" outlineLevel="0" collapsed="false">
      <c r="A8" s="6" t="s">
        <v>224</v>
      </c>
      <c r="B8" s="22" t="n">
        <f aca="false">'2. Hypothèses'!$C$12</f>
        <v>3500000000</v>
      </c>
      <c r="C8" s="22" t="n">
        <f aca="false">'2. Hypothèses'!$D$12</f>
        <v>4200000000</v>
      </c>
      <c r="D8" s="22" t="n">
        <f aca="false">'2. Hypothèses'!$E$12</f>
        <v>5000000000</v>
      </c>
      <c r="E8" s="22" t="n">
        <f aca="false">'2. Hypothèses'!$F$12</f>
        <v>5800000000</v>
      </c>
      <c r="F8" s="22" t="n">
        <f aca="false">'2. Hypothèses'!$G$12</f>
        <v>6500000000</v>
      </c>
      <c r="H8" s="7" t="s">
        <v>225</v>
      </c>
    </row>
    <row r="9" customFormat="false" ht="19.5" hidden="false" customHeight="true" outlineLevel="0" collapsed="false">
      <c r="A9" s="14" t="s">
        <v>226</v>
      </c>
      <c r="B9" s="14"/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2" t="s">
        <v>227</v>
      </c>
      <c r="B10" s="23" t="n">
        <f aca="false">B7*B8</f>
        <v>31500000000</v>
      </c>
      <c r="C10" s="23" t="n">
        <f aca="false">C7*C8</f>
        <v>50400000000</v>
      </c>
      <c r="D10" s="23" t="n">
        <f aca="false">D7*D8</f>
        <v>80000000000</v>
      </c>
      <c r="E10" s="23" t="n">
        <f aca="false">E7*E8</f>
        <v>110200000000</v>
      </c>
      <c r="F10" s="23" t="n">
        <f aca="false">F7*F8</f>
        <v>149500000000</v>
      </c>
      <c r="H10" s="7" t="s">
        <v>228</v>
      </c>
    </row>
    <row r="11" customFormat="false" ht="15" hidden="false" customHeight="false" outlineLevel="0" collapsed="false">
      <c r="A11" s="6" t="s">
        <v>229</v>
      </c>
      <c r="B11" s="24" t="n">
        <f aca="false">'2. Hypothèses'!$C$14</f>
        <v>35000000000</v>
      </c>
      <c r="C11" s="25" t="n">
        <f aca="false">B13</f>
        <v>53721681818.1818</v>
      </c>
      <c r="D11" s="25" t="n">
        <f aca="false">C13</f>
        <v>62903731818.1818</v>
      </c>
      <c r="E11" s="25" t="n">
        <f aca="false">D13</f>
        <v>78847268881.1189</v>
      </c>
      <c r="F11" s="25" t="n">
        <f aca="false">E13</f>
        <v>95417481468.5315</v>
      </c>
      <c r="H11" s="7" t="s">
        <v>230</v>
      </c>
    </row>
    <row r="12" customFormat="false" ht="15" hidden="false" customHeight="false" outlineLevel="0" collapsed="false">
      <c r="A12" s="6" t="s">
        <v>231</v>
      </c>
      <c r="B12" s="24" t="n">
        <f aca="false">'4. Portefeuille chantiers'!B23</f>
        <v>12778318181.8182</v>
      </c>
      <c r="C12" s="24" t="n">
        <f aca="false">'4. Portefeuille chantiers'!C23</f>
        <v>41217950000</v>
      </c>
      <c r="D12" s="24" t="n">
        <f aca="false">'4. Portefeuille chantiers'!D23</f>
        <v>64056462937.0629</v>
      </c>
      <c r="E12" s="24" t="n">
        <f aca="false">'4. Portefeuille chantiers'!E23</f>
        <v>93629787412.5874</v>
      </c>
      <c r="F12" s="24" t="n">
        <f aca="false">'4. Portefeuille chantiers'!F23</f>
        <v>126718167832.168</v>
      </c>
      <c r="H12" s="7" t="s">
        <v>232</v>
      </c>
    </row>
    <row r="13" customFormat="false" ht="15" hidden="false" customHeight="false" outlineLevel="0" collapsed="false">
      <c r="A13" s="12" t="s">
        <v>233</v>
      </c>
      <c r="B13" s="23" t="n">
        <f aca="false">B11+B10-B12</f>
        <v>53721681818.1818</v>
      </c>
      <c r="C13" s="23" t="n">
        <f aca="false">C11+C10-C12</f>
        <v>62903731818.1818</v>
      </c>
      <c r="D13" s="23" t="n">
        <f aca="false">D11+D10-D12</f>
        <v>78847268881.1189</v>
      </c>
      <c r="E13" s="23" t="n">
        <f aca="false">E11+E10-E12</f>
        <v>95417481468.5315</v>
      </c>
      <c r="F13" s="23" t="n">
        <f aca="false">F11+F10-F12</f>
        <v>118199313636.364</v>
      </c>
      <c r="H13" s="7" t="s">
        <v>234</v>
      </c>
    </row>
    <row r="14" customFormat="false" ht="19.5" hidden="false" customHeight="true" outlineLevel="0" collapsed="false">
      <c r="A14" s="14" t="s">
        <v>235</v>
      </c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6" t="s">
        <v>236</v>
      </c>
      <c r="B15" s="26" t="n">
        <f aca="false">IFERROR(B10/B12,0)</f>
        <v>2.46511313553142</v>
      </c>
      <c r="C15" s="26" t="n">
        <f aca="false">IFERROR(C10/C12,0)</f>
        <v>1.22276823568373</v>
      </c>
      <c r="D15" s="26" t="n">
        <f aca="false">IFERROR(D10/D12,0)</f>
        <v>1.2488981803226</v>
      </c>
      <c r="E15" s="26" t="n">
        <f aca="false">IFERROR(E10/E12,0)</f>
        <v>1.17697586468283</v>
      </c>
      <c r="F15" s="26" t="n">
        <f aca="false">IFERROR(F10/F12,0)</f>
        <v>1.17978347191703</v>
      </c>
      <c r="H15" s="7" t="s">
        <v>237</v>
      </c>
    </row>
    <row r="16" customFormat="false" ht="15" hidden="false" customHeight="false" outlineLevel="0" collapsed="false">
      <c r="A16" s="6" t="s">
        <v>238</v>
      </c>
      <c r="B16" s="27" t="n">
        <f aca="false">IFERROR(B13/(B12/12),0)</f>
        <v>50.449532766796</v>
      </c>
      <c r="C16" s="27" t="n">
        <f aca="false">IFERROR(C13/(C12/12),0)</f>
        <v>18.3134964698191</v>
      </c>
      <c r="D16" s="27" t="n">
        <f aca="false">IFERROR(D13/(D12/12),0)</f>
        <v>14.7708315943554</v>
      </c>
      <c r="E16" s="27" t="n">
        <f aca="false">IFERROR(E13/(E12/12),0)</f>
        <v>12.2291186305572</v>
      </c>
      <c r="F16" s="27" t="n">
        <f aca="false">IFERROR(F13/(F12/12),0)</f>
        <v>11.1932786584711</v>
      </c>
      <c r="H16" s="7" t="s">
        <v>239</v>
      </c>
    </row>
    <row r="17" customFormat="false" ht="15" hidden="false" customHeight="false" outlineLevel="0" collapsed="false">
      <c r="A17" s="6" t="s">
        <v>240</v>
      </c>
      <c r="B17" s="22" t="n">
        <f aca="false">'2. Hypothèses'!$C$15*'2. Hypothèses'!$C$10</f>
        <v>126000000</v>
      </c>
      <c r="C17" s="22" t="n">
        <f aca="false">'2. Hypothèses'!$D$15*'2. Hypothèses'!$D$10</f>
        <v>168000000</v>
      </c>
      <c r="D17" s="22" t="n">
        <f aca="false">'2. Hypothèses'!$E$15*'2. Hypothèses'!$E$10</f>
        <v>218400000</v>
      </c>
      <c r="E17" s="22" t="n">
        <f aca="false">'2. Hypothèses'!$F$15*'2. Hypothèses'!$F$10</f>
        <v>264000000</v>
      </c>
      <c r="F17" s="22" t="n">
        <f aca="false">'2. Hypothèses'!$G$15*'2. Hypothèses'!$G$10</f>
        <v>319000000</v>
      </c>
      <c r="H17" s="7" t="s">
        <v>241</v>
      </c>
    </row>
    <row r="18" customFormat="false" ht="15" hidden="false" customHeight="false" outlineLevel="0" collapsed="false">
      <c r="A18" s="6" t="s">
        <v>242</v>
      </c>
      <c r="B18" s="28" t="n">
        <f aca="false">IFERROR(B17/B7,0)</f>
        <v>14000000</v>
      </c>
      <c r="C18" s="28" t="n">
        <f aca="false">IFERROR(C17/C7,0)</f>
        <v>14000000</v>
      </c>
      <c r="D18" s="28" t="n">
        <f aca="false">IFERROR(D17/D7,0)</f>
        <v>13650000</v>
      </c>
      <c r="E18" s="28" t="n">
        <f aca="false">IFERROR(E17/E7,0)</f>
        <v>13894736.8421053</v>
      </c>
      <c r="F18" s="28" t="n">
        <f aca="false">IFERROR(F17/F7,0)</f>
        <v>13869565.2173913</v>
      </c>
      <c r="H18" s="7" t="s">
        <v>243</v>
      </c>
    </row>
  </sheetData>
  <mergeCells count="4">
    <mergeCell ref="A1:H1"/>
    <mergeCell ref="A4:H4"/>
    <mergeCell ref="A9:H9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66" min="4" style="0" width="14"/>
  </cols>
  <sheetData>
    <row r="1" customFormat="false" ht="30" hidden="false" customHeight="true" outlineLevel="0" collapsed="false">
      <c r="A1" s="1" t="s">
        <v>244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30" hidden="false" customHeight="true" outlineLevel="0" collapsed="false">
      <c r="A3" s="5" t="s">
        <v>245</v>
      </c>
      <c r="B3" s="5" t="s">
        <v>246</v>
      </c>
      <c r="C3" s="5" t="s">
        <v>247</v>
      </c>
      <c r="D3" s="5" t="s">
        <v>248</v>
      </c>
      <c r="E3" s="5" t="s">
        <v>249</v>
      </c>
      <c r="F3" s="5" t="s">
        <v>250</v>
      </c>
      <c r="G3" s="5" t="s">
        <v>251</v>
      </c>
      <c r="H3" s="5" t="s">
        <v>252</v>
      </c>
      <c r="I3" s="5" t="s">
        <v>253</v>
      </c>
      <c r="J3" s="5" t="s">
        <v>254</v>
      </c>
      <c r="K3" s="5" t="s">
        <v>255</v>
      </c>
      <c r="L3" s="5" t="s">
        <v>256</v>
      </c>
      <c r="M3" s="5" t="s">
        <v>257</v>
      </c>
      <c r="N3" s="5" t="s">
        <v>258</v>
      </c>
      <c r="O3" s="5" t="s">
        <v>259</v>
      </c>
      <c r="P3" s="5" t="s">
        <v>260</v>
      </c>
      <c r="Q3" s="5" t="s">
        <v>261</v>
      </c>
      <c r="R3" s="5" t="s">
        <v>262</v>
      </c>
      <c r="S3" s="5" t="s">
        <v>263</v>
      </c>
      <c r="T3" s="5" t="s">
        <v>264</v>
      </c>
      <c r="U3" s="5" t="s">
        <v>265</v>
      </c>
      <c r="V3" s="5" t="s">
        <v>266</v>
      </c>
      <c r="W3" s="5" t="s">
        <v>267</v>
      </c>
      <c r="X3" s="5" t="s">
        <v>268</v>
      </c>
      <c r="Y3" s="5" t="s">
        <v>269</v>
      </c>
      <c r="Z3" s="5" t="s">
        <v>270</v>
      </c>
      <c r="AA3" s="5" t="s">
        <v>271</v>
      </c>
      <c r="AB3" s="5" t="s">
        <v>272</v>
      </c>
      <c r="AC3" s="5" t="s">
        <v>273</v>
      </c>
      <c r="AD3" s="5" t="s">
        <v>274</v>
      </c>
      <c r="AE3" s="5" t="s">
        <v>275</v>
      </c>
      <c r="AF3" s="5" t="s">
        <v>276</v>
      </c>
      <c r="AG3" s="5" t="s">
        <v>277</v>
      </c>
      <c r="AH3" s="5" t="s">
        <v>278</v>
      </c>
      <c r="AI3" s="5" t="s">
        <v>279</v>
      </c>
      <c r="AJ3" s="5" t="s">
        <v>280</v>
      </c>
      <c r="AK3" s="5" t="s">
        <v>281</v>
      </c>
      <c r="AL3" s="5" t="s">
        <v>282</v>
      </c>
      <c r="AM3" s="5" t="s">
        <v>283</v>
      </c>
      <c r="AN3" s="5" t="s">
        <v>284</v>
      </c>
      <c r="AO3" s="5" t="s">
        <v>285</v>
      </c>
      <c r="AP3" s="5" t="s">
        <v>286</v>
      </c>
      <c r="AQ3" s="5" t="s">
        <v>287</v>
      </c>
      <c r="AR3" s="5" t="s">
        <v>288</v>
      </c>
      <c r="AS3" s="5" t="s">
        <v>289</v>
      </c>
      <c r="AT3" s="5" t="s">
        <v>290</v>
      </c>
      <c r="AU3" s="5" t="s">
        <v>291</v>
      </c>
      <c r="AV3" s="5" t="s">
        <v>292</v>
      </c>
      <c r="AW3" s="5" t="s">
        <v>293</v>
      </c>
      <c r="AX3" s="5" t="s">
        <v>294</v>
      </c>
      <c r="AY3" s="5" t="s">
        <v>295</v>
      </c>
      <c r="AZ3" s="5" t="s">
        <v>296</v>
      </c>
      <c r="BA3" s="5" t="s">
        <v>297</v>
      </c>
      <c r="BB3" s="5" t="s">
        <v>298</v>
      </c>
      <c r="BC3" s="5" t="s">
        <v>299</v>
      </c>
      <c r="BD3" s="5" t="s">
        <v>300</v>
      </c>
      <c r="BE3" s="5" t="s">
        <v>301</v>
      </c>
      <c r="BF3" s="5" t="s">
        <v>302</v>
      </c>
      <c r="BG3" s="5" t="s">
        <v>303</v>
      </c>
      <c r="BH3" s="5" t="s">
        <v>304</v>
      </c>
      <c r="BI3" s="5" t="s">
        <v>305</v>
      </c>
      <c r="BJ3" s="5" t="s">
        <v>306</v>
      </c>
      <c r="BK3" s="5" t="s">
        <v>307</v>
      </c>
      <c r="BL3" s="5" t="s">
        <v>308</v>
      </c>
      <c r="BM3" s="5" t="s">
        <v>309</v>
      </c>
      <c r="BN3" s="5" t="s">
        <v>310</v>
      </c>
    </row>
    <row r="4" customFormat="false" ht="15" hidden="false" customHeight="false" outlineLevel="0" collapsed="false">
      <c r="A4" s="6" t="s">
        <v>311</v>
      </c>
      <c r="B4" s="7" t="s">
        <v>312</v>
      </c>
      <c r="C4" s="7" t="s">
        <v>313</v>
      </c>
      <c r="D4" s="17" t="n">
        <v>1</v>
      </c>
      <c r="E4" s="17" t="n">
        <v>18</v>
      </c>
      <c r="F4" s="29" t="n">
        <v>4200000000</v>
      </c>
      <c r="G4" s="28" t="n">
        <f aca="false">IF(AND(1&gt;=$D$4,1&lt;=$D$4+$E$4-1),$F$4/$E$4,0)</f>
        <v>233333333.333333</v>
      </c>
      <c r="H4" s="28" t="n">
        <f aca="false">IF(AND(2&gt;=$D$4,2&lt;=$D$4+$E$4-1),$F$4/$E$4,0)</f>
        <v>233333333.333333</v>
      </c>
      <c r="I4" s="28" t="n">
        <f aca="false">IF(AND(3&gt;=$D$4,3&lt;=$D$4+$E$4-1),$F$4/$E$4,0)</f>
        <v>233333333.333333</v>
      </c>
      <c r="J4" s="28" t="n">
        <f aca="false">IF(AND(4&gt;=$D$4,4&lt;=$D$4+$E$4-1),$F$4/$E$4,0)</f>
        <v>233333333.333333</v>
      </c>
      <c r="K4" s="28" t="n">
        <f aca="false">IF(AND(5&gt;=$D$4,5&lt;=$D$4+$E$4-1),$F$4/$E$4,0)</f>
        <v>233333333.333333</v>
      </c>
      <c r="L4" s="28" t="n">
        <f aca="false">IF(AND(6&gt;=$D$4,6&lt;=$D$4+$E$4-1),$F$4/$E$4,0)</f>
        <v>233333333.333333</v>
      </c>
      <c r="M4" s="28" t="n">
        <f aca="false">IF(AND(7&gt;=$D$4,7&lt;=$D$4+$E$4-1),$F$4/$E$4,0)</f>
        <v>233333333.333333</v>
      </c>
      <c r="N4" s="28" t="n">
        <f aca="false">IF(AND(8&gt;=$D$4,8&lt;=$D$4+$E$4-1),$F$4/$E$4,0)</f>
        <v>233333333.333333</v>
      </c>
      <c r="O4" s="28" t="n">
        <f aca="false">IF(AND(9&gt;=$D$4,9&lt;=$D$4+$E$4-1),$F$4/$E$4,0)</f>
        <v>233333333.333333</v>
      </c>
      <c r="P4" s="28" t="n">
        <f aca="false">IF(AND(10&gt;=$D$4,10&lt;=$D$4+$E$4-1),$F$4/$E$4,0)</f>
        <v>233333333.333333</v>
      </c>
      <c r="Q4" s="28" t="n">
        <f aca="false">IF(AND(11&gt;=$D$4,11&lt;=$D$4+$E$4-1),$F$4/$E$4,0)</f>
        <v>233333333.333333</v>
      </c>
      <c r="R4" s="28" t="n">
        <f aca="false">IF(AND(12&gt;=$D$4,12&lt;=$D$4+$E$4-1),$F$4/$E$4,0)</f>
        <v>233333333.333333</v>
      </c>
      <c r="S4" s="28" t="n">
        <f aca="false">IF(AND(13&gt;=$D$4,13&lt;=$D$4+$E$4-1),$F$4/$E$4,0)</f>
        <v>233333333.333333</v>
      </c>
      <c r="T4" s="28" t="n">
        <f aca="false">IF(AND(14&gt;=$D$4,14&lt;=$D$4+$E$4-1),$F$4/$E$4,0)</f>
        <v>233333333.333333</v>
      </c>
      <c r="U4" s="28" t="n">
        <f aca="false">IF(AND(15&gt;=$D$4,15&lt;=$D$4+$E$4-1),$F$4/$E$4,0)</f>
        <v>233333333.333333</v>
      </c>
      <c r="V4" s="28" t="n">
        <f aca="false">IF(AND(16&gt;=$D$4,16&lt;=$D$4+$E$4-1),$F$4/$E$4,0)</f>
        <v>233333333.333333</v>
      </c>
      <c r="W4" s="28" t="n">
        <f aca="false">IF(AND(17&gt;=$D$4,17&lt;=$D$4+$E$4-1),$F$4/$E$4,0)</f>
        <v>233333333.333333</v>
      </c>
      <c r="X4" s="28" t="n">
        <f aca="false">IF(AND(18&gt;=$D$4,18&lt;=$D$4+$E$4-1),$F$4/$E$4,0)</f>
        <v>233333333.333333</v>
      </c>
      <c r="Y4" s="28" t="n">
        <f aca="false">IF(AND(19&gt;=$D$4,19&lt;=$D$4+$E$4-1),$F$4/$E$4,0)</f>
        <v>0</v>
      </c>
      <c r="Z4" s="28" t="n">
        <f aca="false">IF(AND(20&gt;=$D$4,20&lt;=$D$4+$E$4-1),$F$4/$E$4,0)</f>
        <v>0</v>
      </c>
      <c r="AA4" s="28" t="n">
        <f aca="false">IF(AND(21&gt;=$D$4,21&lt;=$D$4+$E$4-1),$F$4/$E$4,0)</f>
        <v>0</v>
      </c>
      <c r="AB4" s="28" t="n">
        <f aca="false">IF(AND(22&gt;=$D$4,22&lt;=$D$4+$E$4-1),$F$4/$E$4,0)</f>
        <v>0</v>
      </c>
      <c r="AC4" s="28" t="n">
        <f aca="false">IF(AND(23&gt;=$D$4,23&lt;=$D$4+$E$4-1),$F$4/$E$4,0)</f>
        <v>0</v>
      </c>
      <c r="AD4" s="28" t="n">
        <f aca="false">IF(AND(24&gt;=$D$4,24&lt;=$D$4+$E$4-1),$F$4/$E$4,0)</f>
        <v>0</v>
      </c>
      <c r="AE4" s="28" t="n">
        <f aca="false">IF(AND(25&gt;=$D$4,25&lt;=$D$4+$E$4-1),$F$4/$E$4,0)</f>
        <v>0</v>
      </c>
      <c r="AF4" s="28" t="n">
        <f aca="false">IF(AND(26&gt;=$D$4,26&lt;=$D$4+$E$4-1),$F$4/$E$4,0)</f>
        <v>0</v>
      </c>
      <c r="AG4" s="28" t="n">
        <f aca="false">IF(AND(27&gt;=$D$4,27&lt;=$D$4+$E$4-1),$F$4/$E$4,0)</f>
        <v>0</v>
      </c>
      <c r="AH4" s="28" t="n">
        <f aca="false">IF(AND(28&gt;=$D$4,28&lt;=$D$4+$E$4-1),$F$4/$E$4,0)</f>
        <v>0</v>
      </c>
      <c r="AI4" s="28" t="n">
        <f aca="false">IF(AND(29&gt;=$D$4,29&lt;=$D$4+$E$4-1),$F$4/$E$4,0)</f>
        <v>0</v>
      </c>
      <c r="AJ4" s="28" t="n">
        <f aca="false">IF(AND(30&gt;=$D$4,30&lt;=$D$4+$E$4-1),$F$4/$E$4,0)</f>
        <v>0</v>
      </c>
      <c r="AK4" s="28" t="n">
        <f aca="false">IF(AND(31&gt;=$D$4,31&lt;=$D$4+$E$4-1),$F$4/$E$4,0)</f>
        <v>0</v>
      </c>
      <c r="AL4" s="28" t="n">
        <f aca="false">IF(AND(32&gt;=$D$4,32&lt;=$D$4+$E$4-1),$F$4/$E$4,0)</f>
        <v>0</v>
      </c>
      <c r="AM4" s="28" t="n">
        <f aca="false">IF(AND(33&gt;=$D$4,33&lt;=$D$4+$E$4-1),$F$4/$E$4,0)</f>
        <v>0</v>
      </c>
      <c r="AN4" s="28" t="n">
        <f aca="false">IF(AND(34&gt;=$D$4,34&lt;=$D$4+$E$4-1),$F$4/$E$4,0)</f>
        <v>0</v>
      </c>
      <c r="AO4" s="28" t="n">
        <f aca="false">IF(AND(35&gt;=$D$4,35&lt;=$D$4+$E$4-1),$F$4/$E$4,0)</f>
        <v>0</v>
      </c>
      <c r="AP4" s="28" t="n">
        <f aca="false">IF(AND(36&gt;=$D$4,36&lt;=$D$4+$E$4-1),$F$4/$E$4,0)</f>
        <v>0</v>
      </c>
      <c r="AQ4" s="28" t="n">
        <f aca="false">IF(AND(37&gt;=$D$4,37&lt;=$D$4+$E$4-1),$F$4/$E$4,0)</f>
        <v>0</v>
      </c>
      <c r="AR4" s="28" t="n">
        <f aca="false">IF(AND(38&gt;=$D$4,38&lt;=$D$4+$E$4-1),$F$4/$E$4,0)</f>
        <v>0</v>
      </c>
      <c r="AS4" s="28" t="n">
        <f aca="false">IF(AND(39&gt;=$D$4,39&lt;=$D$4+$E$4-1),$F$4/$E$4,0)</f>
        <v>0</v>
      </c>
      <c r="AT4" s="28" t="n">
        <f aca="false">IF(AND(40&gt;=$D$4,40&lt;=$D$4+$E$4-1),$F$4/$E$4,0)</f>
        <v>0</v>
      </c>
      <c r="AU4" s="28" t="n">
        <f aca="false">IF(AND(41&gt;=$D$4,41&lt;=$D$4+$E$4-1),$F$4/$E$4,0)</f>
        <v>0</v>
      </c>
      <c r="AV4" s="28" t="n">
        <f aca="false">IF(AND(42&gt;=$D$4,42&lt;=$D$4+$E$4-1),$F$4/$E$4,0)</f>
        <v>0</v>
      </c>
      <c r="AW4" s="28" t="n">
        <f aca="false">IF(AND(43&gt;=$D$4,43&lt;=$D$4+$E$4-1),$F$4/$E$4,0)</f>
        <v>0</v>
      </c>
      <c r="AX4" s="28" t="n">
        <f aca="false">IF(AND(44&gt;=$D$4,44&lt;=$D$4+$E$4-1),$F$4/$E$4,0)</f>
        <v>0</v>
      </c>
      <c r="AY4" s="28" t="n">
        <f aca="false">IF(AND(45&gt;=$D$4,45&lt;=$D$4+$E$4-1),$F$4/$E$4,0)</f>
        <v>0</v>
      </c>
      <c r="AZ4" s="28" t="n">
        <f aca="false">IF(AND(46&gt;=$D$4,46&lt;=$D$4+$E$4-1),$F$4/$E$4,0)</f>
        <v>0</v>
      </c>
      <c r="BA4" s="28" t="n">
        <f aca="false">IF(AND(47&gt;=$D$4,47&lt;=$D$4+$E$4-1),$F$4/$E$4,0)</f>
        <v>0</v>
      </c>
      <c r="BB4" s="28" t="n">
        <f aca="false">IF(AND(48&gt;=$D$4,48&lt;=$D$4+$E$4-1),$F$4/$E$4,0)</f>
        <v>0</v>
      </c>
      <c r="BC4" s="28" t="n">
        <f aca="false">IF(AND(49&gt;=$D$4,49&lt;=$D$4+$E$4-1),$F$4/$E$4,0)</f>
        <v>0</v>
      </c>
      <c r="BD4" s="28" t="n">
        <f aca="false">IF(AND(50&gt;=$D$4,50&lt;=$D$4+$E$4-1),$F$4/$E$4,0)</f>
        <v>0</v>
      </c>
      <c r="BE4" s="28" t="n">
        <f aca="false">IF(AND(51&gt;=$D$4,51&lt;=$D$4+$E$4-1),$F$4/$E$4,0)</f>
        <v>0</v>
      </c>
      <c r="BF4" s="28" t="n">
        <f aca="false">IF(AND(52&gt;=$D$4,52&lt;=$D$4+$E$4-1),$F$4/$E$4,0)</f>
        <v>0</v>
      </c>
      <c r="BG4" s="28" t="n">
        <f aca="false">IF(AND(53&gt;=$D$4,53&lt;=$D$4+$E$4-1),$F$4/$E$4,0)</f>
        <v>0</v>
      </c>
      <c r="BH4" s="28" t="n">
        <f aca="false">IF(AND(54&gt;=$D$4,54&lt;=$D$4+$E$4-1),$F$4/$E$4,0)</f>
        <v>0</v>
      </c>
      <c r="BI4" s="28" t="n">
        <f aca="false">IF(AND(55&gt;=$D$4,55&lt;=$D$4+$E$4-1),$F$4/$E$4,0)</f>
        <v>0</v>
      </c>
      <c r="BJ4" s="28" t="n">
        <f aca="false">IF(AND(56&gt;=$D$4,56&lt;=$D$4+$E$4-1),$F$4/$E$4,0)</f>
        <v>0</v>
      </c>
      <c r="BK4" s="28" t="n">
        <f aca="false">IF(AND(57&gt;=$D$4,57&lt;=$D$4+$E$4-1),$F$4/$E$4,0)</f>
        <v>0</v>
      </c>
      <c r="BL4" s="28" t="n">
        <f aca="false">IF(AND(58&gt;=$D$4,58&lt;=$D$4+$E$4-1),$F$4/$E$4,0)</f>
        <v>0</v>
      </c>
      <c r="BM4" s="28" t="n">
        <f aca="false">IF(AND(59&gt;=$D$4,59&lt;=$D$4+$E$4-1),$F$4/$E$4,0)</f>
        <v>0</v>
      </c>
      <c r="BN4" s="28" t="n">
        <f aca="false">IF(AND(60&gt;=$D$4,60&lt;=$D$4+$E$4-1),$F$4/$E$4,0)</f>
        <v>0</v>
      </c>
    </row>
    <row r="5" customFormat="false" ht="15" hidden="false" customHeight="false" outlineLevel="0" collapsed="false">
      <c r="A5" s="6" t="s">
        <v>314</v>
      </c>
      <c r="B5" s="7" t="s">
        <v>315</v>
      </c>
      <c r="C5" s="7" t="s">
        <v>316</v>
      </c>
      <c r="D5" s="17" t="n">
        <v>1</v>
      </c>
      <c r="E5" s="17" t="n">
        <v>22</v>
      </c>
      <c r="F5" s="29" t="n">
        <v>6500000000</v>
      </c>
      <c r="G5" s="28" t="n">
        <f aca="false">IF(AND(1&gt;=$D$5,1&lt;=$D$5+$E$5-1),$F$5/$E$5,0)</f>
        <v>295454545.454545</v>
      </c>
      <c r="H5" s="28" t="n">
        <f aca="false">IF(AND(2&gt;=$D$5,2&lt;=$D$5+$E$5-1),$F$5/$E$5,0)</f>
        <v>295454545.454545</v>
      </c>
      <c r="I5" s="28" t="n">
        <f aca="false">IF(AND(3&gt;=$D$5,3&lt;=$D$5+$E$5-1),$F$5/$E$5,0)</f>
        <v>295454545.454545</v>
      </c>
      <c r="J5" s="28" t="n">
        <f aca="false">IF(AND(4&gt;=$D$5,4&lt;=$D$5+$E$5-1),$F$5/$E$5,0)</f>
        <v>295454545.454545</v>
      </c>
      <c r="K5" s="28" t="n">
        <f aca="false">IF(AND(5&gt;=$D$5,5&lt;=$D$5+$E$5-1),$F$5/$E$5,0)</f>
        <v>295454545.454545</v>
      </c>
      <c r="L5" s="28" t="n">
        <f aca="false">IF(AND(6&gt;=$D$5,6&lt;=$D$5+$E$5-1),$F$5/$E$5,0)</f>
        <v>295454545.454545</v>
      </c>
      <c r="M5" s="28" t="n">
        <f aca="false">IF(AND(7&gt;=$D$5,7&lt;=$D$5+$E$5-1),$F$5/$E$5,0)</f>
        <v>295454545.454545</v>
      </c>
      <c r="N5" s="28" t="n">
        <f aca="false">IF(AND(8&gt;=$D$5,8&lt;=$D$5+$E$5-1),$F$5/$E$5,0)</f>
        <v>295454545.454545</v>
      </c>
      <c r="O5" s="28" t="n">
        <f aca="false">IF(AND(9&gt;=$D$5,9&lt;=$D$5+$E$5-1),$F$5/$E$5,0)</f>
        <v>295454545.454545</v>
      </c>
      <c r="P5" s="28" t="n">
        <f aca="false">IF(AND(10&gt;=$D$5,10&lt;=$D$5+$E$5-1),$F$5/$E$5,0)</f>
        <v>295454545.454545</v>
      </c>
      <c r="Q5" s="28" t="n">
        <f aca="false">IF(AND(11&gt;=$D$5,11&lt;=$D$5+$E$5-1),$F$5/$E$5,0)</f>
        <v>295454545.454545</v>
      </c>
      <c r="R5" s="28" t="n">
        <f aca="false">IF(AND(12&gt;=$D$5,12&lt;=$D$5+$E$5-1),$F$5/$E$5,0)</f>
        <v>295454545.454545</v>
      </c>
      <c r="S5" s="28" t="n">
        <f aca="false">IF(AND(13&gt;=$D$5,13&lt;=$D$5+$E$5-1),$F$5/$E$5,0)</f>
        <v>295454545.454545</v>
      </c>
      <c r="T5" s="28" t="n">
        <f aca="false">IF(AND(14&gt;=$D$5,14&lt;=$D$5+$E$5-1),$F$5/$E$5,0)</f>
        <v>295454545.454545</v>
      </c>
      <c r="U5" s="28" t="n">
        <f aca="false">IF(AND(15&gt;=$D$5,15&lt;=$D$5+$E$5-1),$F$5/$E$5,0)</f>
        <v>295454545.454545</v>
      </c>
      <c r="V5" s="28" t="n">
        <f aca="false">IF(AND(16&gt;=$D$5,16&lt;=$D$5+$E$5-1),$F$5/$E$5,0)</f>
        <v>295454545.454545</v>
      </c>
      <c r="W5" s="28" t="n">
        <f aca="false">IF(AND(17&gt;=$D$5,17&lt;=$D$5+$E$5-1),$F$5/$E$5,0)</f>
        <v>295454545.454545</v>
      </c>
      <c r="X5" s="28" t="n">
        <f aca="false">IF(AND(18&gt;=$D$5,18&lt;=$D$5+$E$5-1),$F$5/$E$5,0)</f>
        <v>295454545.454545</v>
      </c>
      <c r="Y5" s="28" t="n">
        <f aca="false">IF(AND(19&gt;=$D$5,19&lt;=$D$5+$E$5-1),$F$5/$E$5,0)</f>
        <v>295454545.454545</v>
      </c>
      <c r="Z5" s="28" t="n">
        <f aca="false">IF(AND(20&gt;=$D$5,20&lt;=$D$5+$E$5-1),$F$5/$E$5,0)</f>
        <v>295454545.454545</v>
      </c>
      <c r="AA5" s="28" t="n">
        <f aca="false">IF(AND(21&gt;=$D$5,21&lt;=$D$5+$E$5-1),$F$5/$E$5,0)</f>
        <v>295454545.454545</v>
      </c>
      <c r="AB5" s="28" t="n">
        <f aca="false">IF(AND(22&gt;=$D$5,22&lt;=$D$5+$E$5-1),$F$5/$E$5,0)</f>
        <v>295454545.454545</v>
      </c>
      <c r="AC5" s="28" t="n">
        <f aca="false">IF(AND(23&gt;=$D$5,23&lt;=$D$5+$E$5-1),$F$5/$E$5,0)</f>
        <v>0</v>
      </c>
      <c r="AD5" s="28" t="n">
        <f aca="false">IF(AND(24&gt;=$D$5,24&lt;=$D$5+$E$5-1),$F$5/$E$5,0)</f>
        <v>0</v>
      </c>
      <c r="AE5" s="28" t="n">
        <f aca="false">IF(AND(25&gt;=$D$5,25&lt;=$D$5+$E$5-1),$F$5/$E$5,0)</f>
        <v>0</v>
      </c>
      <c r="AF5" s="28" t="n">
        <f aca="false">IF(AND(26&gt;=$D$5,26&lt;=$D$5+$E$5-1),$F$5/$E$5,0)</f>
        <v>0</v>
      </c>
      <c r="AG5" s="28" t="n">
        <f aca="false">IF(AND(27&gt;=$D$5,27&lt;=$D$5+$E$5-1),$F$5/$E$5,0)</f>
        <v>0</v>
      </c>
      <c r="AH5" s="28" t="n">
        <f aca="false">IF(AND(28&gt;=$D$5,28&lt;=$D$5+$E$5-1),$F$5/$E$5,0)</f>
        <v>0</v>
      </c>
      <c r="AI5" s="28" t="n">
        <f aca="false">IF(AND(29&gt;=$D$5,29&lt;=$D$5+$E$5-1),$F$5/$E$5,0)</f>
        <v>0</v>
      </c>
      <c r="AJ5" s="28" t="n">
        <f aca="false">IF(AND(30&gt;=$D$5,30&lt;=$D$5+$E$5-1),$F$5/$E$5,0)</f>
        <v>0</v>
      </c>
      <c r="AK5" s="28" t="n">
        <f aca="false">IF(AND(31&gt;=$D$5,31&lt;=$D$5+$E$5-1),$F$5/$E$5,0)</f>
        <v>0</v>
      </c>
      <c r="AL5" s="28" t="n">
        <f aca="false">IF(AND(32&gt;=$D$5,32&lt;=$D$5+$E$5-1),$F$5/$E$5,0)</f>
        <v>0</v>
      </c>
      <c r="AM5" s="28" t="n">
        <f aca="false">IF(AND(33&gt;=$D$5,33&lt;=$D$5+$E$5-1),$F$5/$E$5,0)</f>
        <v>0</v>
      </c>
      <c r="AN5" s="28" t="n">
        <f aca="false">IF(AND(34&gt;=$D$5,34&lt;=$D$5+$E$5-1),$F$5/$E$5,0)</f>
        <v>0</v>
      </c>
      <c r="AO5" s="28" t="n">
        <f aca="false">IF(AND(35&gt;=$D$5,35&lt;=$D$5+$E$5-1),$F$5/$E$5,0)</f>
        <v>0</v>
      </c>
      <c r="AP5" s="28" t="n">
        <f aca="false">IF(AND(36&gt;=$D$5,36&lt;=$D$5+$E$5-1),$F$5/$E$5,0)</f>
        <v>0</v>
      </c>
      <c r="AQ5" s="28" t="n">
        <f aca="false">IF(AND(37&gt;=$D$5,37&lt;=$D$5+$E$5-1),$F$5/$E$5,0)</f>
        <v>0</v>
      </c>
      <c r="AR5" s="28" t="n">
        <f aca="false">IF(AND(38&gt;=$D$5,38&lt;=$D$5+$E$5-1),$F$5/$E$5,0)</f>
        <v>0</v>
      </c>
      <c r="AS5" s="28" t="n">
        <f aca="false">IF(AND(39&gt;=$D$5,39&lt;=$D$5+$E$5-1),$F$5/$E$5,0)</f>
        <v>0</v>
      </c>
      <c r="AT5" s="28" t="n">
        <f aca="false">IF(AND(40&gt;=$D$5,40&lt;=$D$5+$E$5-1),$F$5/$E$5,0)</f>
        <v>0</v>
      </c>
      <c r="AU5" s="28" t="n">
        <f aca="false">IF(AND(41&gt;=$D$5,41&lt;=$D$5+$E$5-1),$F$5/$E$5,0)</f>
        <v>0</v>
      </c>
      <c r="AV5" s="28" t="n">
        <f aca="false">IF(AND(42&gt;=$D$5,42&lt;=$D$5+$E$5-1),$F$5/$E$5,0)</f>
        <v>0</v>
      </c>
      <c r="AW5" s="28" t="n">
        <f aca="false">IF(AND(43&gt;=$D$5,43&lt;=$D$5+$E$5-1),$F$5/$E$5,0)</f>
        <v>0</v>
      </c>
      <c r="AX5" s="28" t="n">
        <f aca="false">IF(AND(44&gt;=$D$5,44&lt;=$D$5+$E$5-1),$F$5/$E$5,0)</f>
        <v>0</v>
      </c>
      <c r="AY5" s="28" t="n">
        <f aca="false">IF(AND(45&gt;=$D$5,45&lt;=$D$5+$E$5-1),$F$5/$E$5,0)</f>
        <v>0</v>
      </c>
      <c r="AZ5" s="28" t="n">
        <f aca="false">IF(AND(46&gt;=$D$5,46&lt;=$D$5+$E$5-1),$F$5/$E$5,0)</f>
        <v>0</v>
      </c>
      <c r="BA5" s="28" t="n">
        <f aca="false">IF(AND(47&gt;=$D$5,47&lt;=$D$5+$E$5-1),$F$5/$E$5,0)</f>
        <v>0</v>
      </c>
      <c r="BB5" s="28" t="n">
        <f aca="false">IF(AND(48&gt;=$D$5,48&lt;=$D$5+$E$5-1),$F$5/$E$5,0)</f>
        <v>0</v>
      </c>
      <c r="BC5" s="28" t="n">
        <f aca="false">IF(AND(49&gt;=$D$5,49&lt;=$D$5+$E$5-1),$F$5/$E$5,0)</f>
        <v>0</v>
      </c>
      <c r="BD5" s="28" t="n">
        <f aca="false">IF(AND(50&gt;=$D$5,50&lt;=$D$5+$E$5-1),$F$5/$E$5,0)</f>
        <v>0</v>
      </c>
      <c r="BE5" s="28" t="n">
        <f aca="false">IF(AND(51&gt;=$D$5,51&lt;=$D$5+$E$5-1),$F$5/$E$5,0)</f>
        <v>0</v>
      </c>
      <c r="BF5" s="28" t="n">
        <f aca="false">IF(AND(52&gt;=$D$5,52&lt;=$D$5+$E$5-1),$F$5/$E$5,0)</f>
        <v>0</v>
      </c>
      <c r="BG5" s="28" t="n">
        <f aca="false">IF(AND(53&gt;=$D$5,53&lt;=$D$5+$E$5-1),$F$5/$E$5,0)</f>
        <v>0</v>
      </c>
      <c r="BH5" s="28" t="n">
        <f aca="false">IF(AND(54&gt;=$D$5,54&lt;=$D$5+$E$5-1),$F$5/$E$5,0)</f>
        <v>0</v>
      </c>
      <c r="BI5" s="28" t="n">
        <f aca="false">IF(AND(55&gt;=$D$5,55&lt;=$D$5+$E$5-1),$F$5/$E$5,0)</f>
        <v>0</v>
      </c>
      <c r="BJ5" s="28" t="n">
        <f aca="false">IF(AND(56&gt;=$D$5,56&lt;=$D$5+$E$5-1),$F$5/$E$5,0)</f>
        <v>0</v>
      </c>
      <c r="BK5" s="28" t="n">
        <f aca="false">IF(AND(57&gt;=$D$5,57&lt;=$D$5+$E$5-1),$F$5/$E$5,0)</f>
        <v>0</v>
      </c>
      <c r="BL5" s="28" t="n">
        <f aca="false">IF(AND(58&gt;=$D$5,58&lt;=$D$5+$E$5-1),$F$5/$E$5,0)</f>
        <v>0</v>
      </c>
      <c r="BM5" s="28" t="n">
        <f aca="false">IF(AND(59&gt;=$D$5,59&lt;=$D$5+$E$5-1),$F$5/$E$5,0)</f>
        <v>0</v>
      </c>
      <c r="BN5" s="28" t="n">
        <f aca="false">IF(AND(60&gt;=$D$5,60&lt;=$D$5+$E$5-1),$F$5/$E$5,0)</f>
        <v>0</v>
      </c>
    </row>
    <row r="6" customFormat="false" ht="15" hidden="false" customHeight="false" outlineLevel="0" collapsed="false">
      <c r="A6" s="6" t="s">
        <v>317</v>
      </c>
      <c r="B6" s="7" t="s">
        <v>318</v>
      </c>
      <c r="C6" s="7" t="s">
        <v>319</v>
      </c>
      <c r="D6" s="17" t="n">
        <v>3</v>
      </c>
      <c r="E6" s="17" t="n">
        <v>20</v>
      </c>
      <c r="F6" s="29" t="n">
        <v>3800000000</v>
      </c>
      <c r="G6" s="28" t="n">
        <f aca="false">IF(AND(1&gt;=$D$6,1&lt;=$D$6+$E$6-1),$F$6/$E$6,0)</f>
        <v>0</v>
      </c>
      <c r="H6" s="28" t="n">
        <f aca="false">IF(AND(2&gt;=$D$6,2&lt;=$D$6+$E$6-1),$F$6/$E$6,0)</f>
        <v>0</v>
      </c>
      <c r="I6" s="28" t="n">
        <f aca="false">IF(AND(3&gt;=$D$6,3&lt;=$D$6+$E$6-1),$F$6/$E$6,0)</f>
        <v>190000000</v>
      </c>
      <c r="J6" s="28" t="n">
        <f aca="false">IF(AND(4&gt;=$D$6,4&lt;=$D$6+$E$6-1),$F$6/$E$6,0)</f>
        <v>190000000</v>
      </c>
      <c r="K6" s="28" t="n">
        <f aca="false">IF(AND(5&gt;=$D$6,5&lt;=$D$6+$E$6-1),$F$6/$E$6,0)</f>
        <v>190000000</v>
      </c>
      <c r="L6" s="28" t="n">
        <f aca="false">IF(AND(6&gt;=$D$6,6&lt;=$D$6+$E$6-1),$F$6/$E$6,0)</f>
        <v>190000000</v>
      </c>
      <c r="M6" s="28" t="n">
        <f aca="false">IF(AND(7&gt;=$D$6,7&lt;=$D$6+$E$6-1),$F$6/$E$6,0)</f>
        <v>190000000</v>
      </c>
      <c r="N6" s="28" t="n">
        <f aca="false">IF(AND(8&gt;=$D$6,8&lt;=$D$6+$E$6-1),$F$6/$E$6,0)</f>
        <v>190000000</v>
      </c>
      <c r="O6" s="28" t="n">
        <f aca="false">IF(AND(9&gt;=$D$6,9&lt;=$D$6+$E$6-1),$F$6/$E$6,0)</f>
        <v>190000000</v>
      </c>
      <c r="P6" s="28" t="n">
        <f aca="false">IF(AND(10&gt;=$D$6,10&lt;=$D$6+$E$6-1),$F$6/$E$6,0)</f>
        <v>190000000</v>
      </c>
      <c r="Q6" s="28" t="n">
        <f aca="false">IF(AND(11&gt;=$D$6,11&lt;=$D$6+$E$6-1),$F$6/$E$6,0)</f>
        <v>190000000</v>
      </c>
      <c r="R6" s="28" t="n">
        <f aca="false">IF(AND(12&gt;=$D$6,12&lt;=$D$6+$E$6-1),$F$6/$E$6,0)</f>
        <v>190000000</v>
      </c>
      <c r="S6" s="28" t="n">
        <f aca="false">IF(AND(13&gt;=$D$6,13&lt;=$D$6+$E$6-1),$F$6/$E$6,0)</f>
        <v>190000000</v>
      </c>
      <c r="T6" s="28" t="n">
        <f aca="false">IF(AND(14&gt;=$D$6,14&lt;=$D$6+$E$6-1),$F$6/$E$6,0)</f>
        <v>190000000</v>
      </c>
      <c r="U6" s="28" t="n">
        <f aca="false">IF(AND(15&gt;=$D$6,15&lt;=$D$6+$E$6-1),$F$6/$E$6,0)</f>
        <v>190000000</v>
      </c>
      <c r="V6" s="28" t="n">
        <f aca="false">IF(AND(16&gt;=$D$6,16&lt;=$D$6+$E$6-1),$F$6/$E$6,0)</f>
        <v>190000000</v>
      </c>
      <c r="W6" s="28" t="n">
        <f aca="false">IF(AND(17&gt;=$D$6,17&lt;=$D$6+$E$6-1),$F$6/$E$6,0)</f>
        <v>190000000</v>
      </c>
      <c r="X6" s="28" t="n">
        <f aca="false">IF(AND(18&gt;=$D$6,18&lt;=$D$6+$E$6-1),$F$6/$E$6,0)</f>
        <v>190000000</v>
      </c>
      <c r="Y6" s="28" t="n">
        <f aca="false">IF(AND(19&gt;=$D$6,19&lt;=$D$6+$E$6-1),$F$6/$E$6,0)</f>
        <v>190000000</v>
      </c>
      <c r="Z6" s="28" t="n">
        <f aca="false">IF(AND(20&gt;=$D$6,20&lt;=$D$6+$E$6-1),$F$6/$E$6,0)</f>
        <v>190000000</v>
      </c>
      <c r="AA6" s="28" t="n">
        <f aca="false">IF(AND(21&gt;=$D$6,21&lt;=$D$6+$E$6-1),$F$6/$E$6,0)</f>
        <v>190000000</v>
      </c>
      <c r="AB6" s="28" t="n">
        <f aca="false">IF(AND(22&gt;=$D$6,22&lt;=$D$6+$E$6-1),$F$6/$E$6,0)</f>
        <v>190000000</v>
      </c>
      <c r="AC6" s="28" t="n">
        <f aca="false">IF(AND(23&gt;=$D$6,23&lt;=$D$6+$E$6-1),$F$6/$E$6,0)</f>
        <v>0</v>
      </c>
      <c r="AD6" s="28" t="n">
        <f aca="false">IF(AND(24&gt;=$D$6,24&lt;=$D$6+$E$6-1),$F$6/$E$6,0)</f>
        <v>0</v>
      </c>
      <c r="AE6" s="28" t="n">
        <f aca="false">IF(AND(25&gt;=$D$6,25&lt;=$D$6+$E$6-1),$F$6/$E$6,0)</f>
        <v>0</v>
      </c>
      <c r="AF6" s="28" t="n">
        <f aca="false">IF(AND(26&gt;=$D$6,26&lt;=$D$6+$E$6-1),$F$6/$E$6,0)</f>
        <v>0</v>
      </c>
      <c r="AG6" s="28" t="n">
        <f aca="false">IF(AND(27&gt;=$D$6,27&lt;=$D$6+$E$6-1),$F$6/$E$6,0)</f>
        <v>0</v>
      </c>
      <c r="AH6" s="28" t="n">
        <f aca="false">IF(AND(28&gt;=$D$6,28&lt;=$D$6+$E$6-1),$F$6/$E$6,0)</f>
        <v>0</v>
      </c>
      <c r="AI6" s="28" t="n">
        <f aca="false">IF(AND(29&gt;=$D$6,29&lt;=$D$6+$E$6-1),$F$6/$E$6,0)</f>
        <v>0</v>
      </c>
      <c r="AJ6" s="28" t="n">
        <f aca="false">IF(AND(30&gt;=$D$6,30&lt;=$D$6+$E$6-1),$F$6/$E$6,0)</f>
        <v>0</v>
      </c>
      <c r="AK6" s="28" t="n">
        <f aca="false">IF(AND(31&gt;=$D$6,31&lt;=$D$6+$E$6-1),$F$6/$E$6,0)</f>
        <v>0</v>
      </c>
      <c r="AL6" s="28" t="n">
        <f aca="false">IF(AND(32&gt;=$D$6,32&lt;=$D$6+$E$6-1),$F$6/$E$6,0)</f>
        <v>0</v>
      </c>
      <c r="AM6" s="28" t="n">
        <f aca="false">IF(AND(33&gt;=$D$6,33&lt;=$D$6+$E$6-1),$F$6/$E$6,0)</f>
        <v>0</v>
      </c>
      <c r="AN6" s="28" t="n">
        <f aca="false">IF(AND(34&gt;=$D$6,34&lt;=$D$6+$E$6-1),$F$6/$E$6,0)</f>
        <v>0</v>
      </c>
      <c r="AO6" s="28" t="n">
        <f aca="false">IF(AND(35&gt;=$D$6,35&lt;=$D$6+$E$6-1),$F$6/$E$6,0)</f>
        <v>0</v>
      </c>
      <c r="AP6" s="28" t="n">
        <f aca="false">IF(AND(36&gt;=$D$6,36&lt;=$D$6+$E$6-1),$F$6/$E$6,0)</f>
        <v>0</v>
      </c>
      <c r="AQ6" s="28" t="n">
        <f aca="false">IF(AND(37&gt;=$D$6,37&lt;=$D$6+$E$6-1),$F$6/$E$6,0)</f>
        <v>0</v>
      </c>
      <c r="AR6" s="28" t="n">
        <f aca="false">IF(AND(38&gt;=$D$6,38&lt;=$D$6+$E$6-1),$F$6/$E$6,0)</f>
        <v>0</v>
      </c>
      <c r="AS6" s="28" t="n">
        <f aca="false">IF(AND(39&gt;=$D$6,39&lt;=$D$6+$E$6-1),$F$6/$E$6,0)</f>
        <v>0</v>
      </c>
      <c r="AT6" s="28" t="n">
        <f aca="false">IF(AND(40&gt;=$D$6,40&lt;=$D$6+$E$6-1),$F$6/$E$6,0)</f>
        <v>0</v>
      </c>
      <c r="AU6" s="28" t="n">
        <f aca="false">IF(AND(41&gt;=$D$6,41&lt;=$D$6+$E$6-1),$F$6/$E$6,0)</f>
        <v>0</v>
      </c>
      <c r="AV6" s="28" t="n">
        <f aca="false">IF(AND(42&gt;=$D$6,42&lt;=$D$6+$E$6-1),$F$6/$E$6,0)</f>
        <v>0</v>
      </c>
      <c r="AW6" s="28" t="n">
        <f aca="false">IF(AND(43&gt;=$D$6,43&lt;=$D$6+$E$6-1),$F$6/$E$6,0)</f>
        <v>0</v>
      </c>
      <c r="AX6" s="28" t="n">
        <f aca="false">IF(AND(44&gt;=$D$6,44&lt;=$D$6+$E$6-1),$F$6/$E$6,0)</f>
        <v>0</v>
      </c>
      <c r="AY6" s="28" t="n">
        <f aca="false">IF(AND(45&gt;=$D$6,45&lt;=$D$6+$E$6-1),$F$6/$E$6,0)</f>
        <v>0</v>
      </c>
      <c r="AZ6" s="28" t="n">
        <f aca="false">IF(AND(46&gt;=$D$6,46&lt;=$D$6+$E$6-1),$F$6/$E$6,0)</f>
        <v>0</v>
      </c>
      <c r="BA6" s="28" t="n">
        <f aca="false">IF(AND(47&gt;=$D$6,47&lt;=$D$6+$E$6-1),$F$6/$E$6,0)</f>
        <v>0</v>
      </c>
      <c r="BB6" s="28" t="n">
        <f aca="false">IF(AND(48&gt;=$D$6,48&lt;=$D$6+$E$6-1),$F$6/$E$6,0)</f>
        <v>0</v>
      </c>
      <c r="BC6" s="28" t="n">
        <f aca="false">IF(AND(49&gt;=$D$6,49&lt;=$D$6+$E$6-1),$F$6/$E$6,0)</f>
        <v>0</v>
      </c>
      <c r="BD6" s="28" t="n">
        <f aca="false">IF(AND(50&gt;=$D$6,50&lt;=$D$6+$E$6-1),$F$6/$E$6,0)</f>
        <v>0</v>
      </c>
      <c r="BE6" s="28" t="n">
        <f aca="false">IF(AND(51&gt;=$D$6,51&lt;=$D$6+$E$6-1),$F$6/$E$6,0)</f>
        <v>0</v>
      </c>
      <c r="BF6" s="28" t="n">
        <f aca="false">IF(AND(52&gt;=$D$6,52&lt;=$D$6+$E$6-1),$F$6/$E$6,0)</f>
        <v>0</v>
      </c>
      <c r="BG6" s="28" t="n">
        <f aca="false">IF(AND(53&gt;=$D$6,53&lt;=$D$6+$E$6-1),$F$6/$E$6,0)</f>
        <v>0</v>
      </c>
      <c r="BH6" s="28" t="n">
        <f aca="false">IF(AND(54&gt;=$D$6,54&lt;=$D$6+$E$6-1),$F$6/$E$6,0)</f>
        <v>0</v>
      </c>
      <c r="BI6" s="28" t="n">
        <f aca="false">IF(AND(55&gt;=$D$6,55&lt;=$D$6+$E$6-1),$F$6/$E$6,0)</f>
        <v>0</v>
      </c>
      <c r="BJ6" s="28" t="n">
        <f aca="false">IF(AND(56&gt;=$D$6,56&lt;=$D$6+$E$6-1),$F$6/$E$6,0)</f>
        <v>0</v>
      </c>
      <c r="BK6" s="28" t="n">
        <f aca="false">IF(AND(57&gt;=$D$6,57&lt;=$D$6+$E$6-1),$F$6/$E$6,0)</f>
        <v>0</v>
      </c>
      <c r="BL6" s="28" t="n">
        <f aca="false">IF(AND(58&gt;=$D$6,58&lt;=$D$6+$E$6-1),$F$6/$E$6,0)</f>
        <v>0</v>
      </c>
      <c r="BM6" s="28" t="n">
        <f aca="false">IF(AND(59&gt;=$D$6,59&lt;=$D$6+$E$6-1),$F$6/$E$6,0)</f>
        <v>0</v>
      </c>
      <c r="BN6" s="28" t="n">
        <f aca="false">IF(AND(60&gt;=$D$6,60&lt;=$D$6+$E$6-1),$F$6/$E$6,0)</f>
        <v>0</v>
      </c>
    </row>
    <row r="7" customFormat="false" ht="15" hidden="false" customHeight="false" outlineLevel="0" collapsed="false">
      <c r="A7" s="6" t="s">
        <v>320</v>
      </c>
      <c r="B7" s="7" t="s">
        <v>321</v>
      </c>
      <c r="C7" s="7" t="s">
        <v>322</v>
      </c>
      <c r="D7" s="17" t="n">
        <v>5</v>
      </c>
      <c r="E7" s="17" t="n">
        <v>24</v>
      </c>
      <c r="F7" s="29" t="n">
        <v>5500000000</v>
      </c>
      <c r="G7" s="28" t="n">
        <f aca="false">IF(AND(1&gt;=$D$7,1&lt;=$D$7+$E$7-1),$F$7/$E$7,0)</f>
        <v>0</v>
      </c>
      <c r="H7" s="28" t="n">
        <f aca="false">IF(AND(2&gt;=$D$7,2&lt;=$D$7+$E$7-1),$F$7/$E$7,0)</f>
        <v>0</v>
      </c>
      <c r="I7" s="28" t="n">
        <f aca="false">IF(AND(3&gt;=$D$7,3&lt;=$D$7+$E$7-1),$F$7/$E$7,0)</f>
        <v>0</v>
      </c>
      <c r="J7" s="28" t="n">
        <f aca="false">IF(AND(4&gt;=$D$7,4&lt;=$D$7+$E$7-1),$F$7/$E$7,0)</f>
        <v>0</v>
      </c>
      <c r="K7" s="28" t="n">
        <f aca="false">IF(AND(5&gt;=$D$7,5&lt;=$D$7+$E$7-1),$F$7/$E$7,0)</f>
        <v>229166666.666667</v>
      </c>
      <c r="L7" s="28" t="n">
        <f aca="false">IF(AND(6&gt;=$D$7,6&lt;=$D$7+$E$7-1),$F$7/$E$7,0)</f>
        <v>229166666.666667</v>
      </c>
      <c r="M7" s="28" t="n">
        <f aca="false">IF(AND(7&gt;=$D$7,7&lt;=$D$7+$E$7-1),$F$7/$E$7,0)</f>
        <v>229166666.666667</v>
      </c>
      <c r="N7" s="28" t="n">
        <f aca="false">IF(AND(8&gt;=$D$7,8&lt;=$D$7+$E$7-1),$F$7/$E$7,0)</f>
        <v>229166666.666667</v>
      </c>
      <c r="O7" s="28" t="n">
        <f aca="false">IF(AND(9&gt;=$D$7,9&lt;=$D$7+$E$7-1),$F$7/$E$7,0)</f>
        <v>229166666.666667</v>
      </c>
      <c r="P7" s="28" t="n">
        <f aca="false">IF(AND(10&gt;=$D$7,10&lt;=$D$7+$E$7-1),$F$7/$E$7,0)</f>
        <v>229166666.666667</v>
      </c>
      <c r="Q7" s="28" t="n">
        <f aca="false">IF(AND(11&gt;=$D$7,11&lt;=$D$7+$E$7-1),$F$7/$E$7,0)</f>
        <v>229166666.666667</v>
      </c>
      <c r="R7" s="28" t="n">
        <f aca="false">IF(AND(12&gt;=$D$7,12&lt;=$D$7+$E$7-1),$F$7/$E$7,0)</f>
        <v>229166666.666667</v>
      </c>
      <c r="S7" s="28" t="n">
        <f aca="false">IF(AND(13&gt;=$D$7,13&lt;=$D$7+$E$7-1),$F$7/$E$7,0)</f>
        <v>229166666.666667</v>
      </c>
      <c r="T7" s="28" t="n">
        <f aca="false">IF(AND(14&gt;=$D$7,14&lt;=$D$7+$E$7-1),$F$7/$E$7,0)</f>
        <v>229166666.666667</v>
      </c>
      <c r="U7" s="28" t="n">
        <f aca="false">IF(AND(15&gt;=$D$7,15&lt;=$D$7+$E$7-1),$F$7/$E$7,0)</f>
        <v>229166666.666667</v>
      </c>
      <c r="V7" s="28" t="n">
        <f aca="false">IF(AND(16&gt;=$D$7,16&lt;=$D$7+$E$7-1),$F$7/$E$7,0)</f>
        <v>229166666.666667</v>
      </c>
      <c r="W7" s="28" t="n">
        <f aca="false">IF(AND(17&gt;=$D$7,17&lt;=$D$7+$E$7-1),$F$7/$E$7,0)</f>
        <v>229166666.666667</v>
      </c>
      <c r="X7" s="28" t="n">
        <f aca="false">IF(AND(18&gt;=$D$7,18&lt;=$D$7+$E$7-1),$F$7/$E$7,0)</f>
        <v>229166666.666667</v>
      </c>
      <c r="Y7" s="28" t="n">
        <f aca="false">IF(AND(19&gt;=$D$7,19&lt;=$D$7+$E$7-1),$F$7/$E$7,0)</f>
        <v>229166666.666667</v>
      </c>
      <c r="Z7" s="28" t="n">
        <f aca="false">IF(AND(20&gt;=$D$7,20&lt;=$D$7+$E$7-1),$F$7/$E$7,0)</f>
        <v>229166666.666667</v>
      </c>
      <c r="AA7" s="28" t="n">
        <f aca="false">IF(AND(21&gt;=$D$7,21&lt;=$D$7+$E$7-1),$F$7/$E$7,0)</f>
        <v>229166666.666667</v>
      </c>
      <c r="AB7" s="28" t="n">
        <f aca="false">IF(AND(22&gt;=$D$7,22&lt;=$D$7+$E$7-1),$F$7/$E$7,0)</f>
        <v>229166666.666667</v>
      </c>
      <c r="AC7" s="28" t="n">
        <f aca="false">IF(AND(23&gt;=$D$7,23&lt;=$D$7+$E$7-1),$F$7/$E$7,0)</f>
        <v>229166666.666667</v>
      </c>
      <c r="AD7" s="28" t="n">
        <f aca="false">IF(AND(24&gt;=$D$7,24&lt;=$D$7+$E$7-1),$F$7/$E$7,0)</f>
        <v>229166666.666667</v>
      </c>
      <c r="AE7" s="28" t="n">
        <f aca="false">IF(AND(25&gt;=$D$7,25&lt;=$D$7+$E$7-1),$F$7/$E$7,0)</f>
        <v>229166666.666667</v>
      </c>
      <c r="AF7" s="28" t="n">
        <f aca="false">IF(AND(26&gt;=$D$7,26&lt;=$D$7+$E$7-1),$F$7/$E$7,0)</f>
        <v>229166666.666667</v>
      </c>
      <c r="AG7" s="28" t="n">
        <f aca="false">IF(AND(27&gt;=$D$7,27&lt;=$D$7+$E$7-1),$F$7/$E$7,0)</f>
        <v>229166666.666667</v>
      </c>
      <c r="AH7" s="28" t="n">
        <f aca="false">IF(AND(28&gt;=$D$7,28&lt;=$D$7+$E$7-1),$F$7/$E$7,0)</f>
        <v>229166666.666667</v>
      </c>
      <c r="AI7" s="28" t="n">
        <f aca="false">IF(AND(29&gt;=$D$7,29&lt;=$D$7+$E$7-1),$F$7/$E$7,0)</f>
        <v>0</v>
      </c>
      <c r="AJ7" s="28" t="n">
        <f aca="false">IF(AND(30&gt;=$D$7,30&lt;=$D$7+$E$7-1),$F$7/$E$7,0)</f>
        <v>0</v>
      </c>
      <c r="AK7" s="28" t="n">
        <f aca="false">IF(AND(31&gt;=$D$7,31&lt;=$D$7+$E$7-1),$F$7/$E$7,0)</f>
        <v>0</v>
      </c>
      <c r="AL7" s="28" t="n">
        <f aca="false">IF(AND(32&gt;=$D$7,32&lt;=$D$7+$E$7-1),$F$7/$E$7,0)</f>
        <v>0</v>
      </c>
      <c r="AM7" s="28" t="n">
        <f aca="false">IF(AND(33&gt;=$D$7,33&lt;=$D$7+$E$7-1),$F$7/$E$7,0)</f>
        <v>0</v>
      </c>
      <c r="AN7" s="28" t="n">
        <f aca="false">IF(AND(34&gt;=$D$7,34&lt;=$D$7+$E$7-1),$F$7/$E$7,0)</f>
        <v>0</v>
      </c>
      <c r="AO7" s="28" t="n">
        <f aca="false">IF(AND(35&gt;=$D$7,35&lt;=$D$7+$E$7-1),$F$7/$E$7,0)</f>
        <v>0</v>
      </c>
      <c r="AP7" s="28" t="n">
        <f aca="false">IF(AND(36&gt;=$D$7,36&lt;=$D$7+$E$7-1),$F$7/$E$7,0)</f>
        <v>0</v>
      </c>
      <c r="AQ7" s="28" t="n">
        <f aca="false">IF(AND(37&gt;=$D$7,37&lt;=$D$7+$E$7-1),$F$7/$E$7,0)</f>
        <v>0</v>
      </c>
      <c r="AR7" s="28" t="n">
        <f aca="false">IF(AND(38&gt;=$D$7,38&lt;=$D$7+$E$7-1),$F$7/$E$7,0)</f>
        <v>0</v>
      </c>
      <c r="AS7" s="28" t="n">
        <f aca="false">IF(AND(39&gt;=$D$7,39&lt;=$D$7+$E$7-1),$F$7/$E$7,0)</f>
        <v>0</v>
      </c>
      <c r="AT7" s="28" t="n">
        <f aca="false">IF(AND(40&gt;=$D$7,40&lt;=$D$7+$E$7-1),$F$7/$E$7,0)</f>
        <v>0</v>
      </c>
      <c r="AU7" s="28" t="n">
        <f aca="false">IF(AND(41&gt;=$D$7,41&lt;=$D$7+$E$7-1),$F$7/$E$7,0)</f>
        <v>0</v>
      </c>
      <c r="AV7" s="28" t="n">
        <f aca="false">IF(AND(42&gt;=$D$7,42&lt;=$D$7+$E$7-1),$F$7/$E$7,0)</f>
        <v>0</v>
      </c>
      <c r="AW7" s="28" t="n">
        <f aca="false">IF(AND(43&gt;=$D$7,43&lt;=$D$7+$E$7-1),$F$7/$E$7,0)</f>
        <v>0</v>
      </c>
      <c r="AX7" s="28" t="n">
        <f aca="false">IF(AND(44&gt;=$D$7,44&lt;=$D$7+$E$7-1),$F$7/$E$7,0)</f>
        <v>0</v>
      </c>
      <c r="AY7" s="28" t="n">
        <f aca="false">IF(AND(45&gt;=$D$7,45&lt;=$D$7+$E$7-1),$F$7/$E$7,0)</f>
        <v>0</v>
      </c>
      <c r="AZ7" s="28" t="n">
        <f aca="false">IF(AND(46&gt;=$D$7,46&lt;=$D$7+$E$7-1),$F$7/$E$7,0)</f>
        <v>0</v>
      </c>
      <c r="BA7" s="28" t="n">
        <f aca="false">IF(AND(47&gt;=$D$7,47&lt;=$D$7+$E$7-1),$F$7/$E$7,0)</f>
        <v>0</v>
      </c>
      <c r="BB7" s="28" t="n">
        <f aca="false">IF(AND(48&gt;=$D$7,48&lt;=$D$7+$E$7-1),$F$7/$E$7,0)</f>
        <v>0</v>
      </c>
      <c r="BC7" s="28" t="n">
        <f aca="false">IF(AND(49&gt;=$D$7,49&lt;=$D$7+$E$7-1),$F$7/$E$7,0)</f>
        <v>0</v>
      </c>
      <c r="BD7" s="28" t="n">
        <f aca="false">IF(AND(50&gt;=$D$7,50&lt;=$D$7+$E$7-1),$F$7/$E$7,0)</f>
        <v>0</v>
      </c>
      <c r="BE7" s="28" t="n">
        <f aca="false">IF(AND(51&gt;=$D$7,51&lt;=$D$7+$E$7-1),$F$7/$E$7,0)</f>
        <v>0</v>
      </c>
      <c r="BF7" s="28" t="n">
        <f aca="false">IF(AND(52&gt;=$D$7,52&lt;=$D$7+$E$7-1),$F$7/$E$7,0)</f>
        <v>0</v>
      </c>
      <c r="BG7" s="28" t="n">
        <f aca="false">IF(AND(53&gt;=$D$7,53&lt;=$D$7+$E$7-1),$F$7/$E$7,0)</f>
        <v>0</v>
      </c>
      <c r="BH7" s="28" t="n">
        <f aca="false">IF(AND(54&gt;=$D$7,54&lt;=$D$7+$E$7-1),$F$7/$E$7,0)</f>
        <v>0</v>
      </c>
      <c r="BI7" s="28" t="n">
        <f aca="false">IF(AND(55&gt;=$D$7,55&lt;=$D$7+$E$7-1),$F$7/$E$7,0)</f>
        <v>0</v>
      </c>
      <c r="BJ7" s="28" t="n">
        <f aca="false">IF(AND(56&gt;=$D$7,56&lt;=$D$7+$E$7-1),$F$7/$E$7,0)</f>
        <v>0</v>
      </c>
      <c r="BK7" s="28" t="n">
        <f aca="false">IF(AND(57&gt;=$D$7,57&lt;=$D$7+$E$7-1),$F$7/$E$7,0)</f>
        <v>0</v>
      </c>
      <c r="BL7" s="28" t="n">
        <f aca="false">IF(AND(58&gt;=$D$7,58&lt;=$D$7+$E$7-1),$F$7/$E$7,0)</f>
        <v>0</v>
      </c>
      <c r="BM7" s="28" t="n">
        <f aca="false">IF(AND(59&gt;=$D$7,59&lt;=$D$7+$E$7-1),$F$7/$E$7,0)</f>
        <v>0</v>
      </c>
      <c r="BN7" s="28" t="n">
        <f aca="false">IF(AND(60&gt;=$D$7,60&lt;=$D$7+$E$7-1),$F$7/$E$7,0)</f>
        <v>0</v>
      </c>
    </row>
    <row r="8" customFormat="false" ht="15" hidden="false" customHeight="false" outlineLevel="0" collapsed="false">
      <c r="A8" s="6" t="s">
        <v>323</v>
      </c>
      <c r="B8" s="7" t="s">
        <v>324</v>
      </c>
      <c r="C8" s="7" t="s">
        <v>325</v>
      </c>
      <c r="D8" s="17" t="n">
        <v>8</v>
      </c>
      <c r="E8" s="17" t="n">
        <v>22</v>
      </c>
      <c r="F8" s="29" t="n">
        <v>4800000000</v>
      </c>
      <c r="G8" s="28" t="n">
        <f aca="false">IF(AND(1&gt;=$D$8,1&lt;=$D$8+$E$8-1),$F$8/$E$8,0)</f>
        <v>0</v>
      </c>
      <c r="H8" s="28" t="n">
        <f aca="false">IF(AND(2&gt;=$D$8,2&lt;=$D$8+$E$8-1),$F$8/$E$8,0)</f>
        <v>0</v>
      </c>
      <c r="I8" s="28" t="n">
        <f aca="false">IF(AND(3&gt;=$D$8,3&lt;=$D$8+$E$8-1),$F$8/$E$8,0)</f>
        <v>0</v>
      </c>
      <c r="J8" s="28" t="n">
        <f aca="false">IF(AND(4&gt;=$D$8,4&lt;=$D$8+$E$8-1),$F$8/$E$8,0)</f>
        <v>0</v>
      </c>
      <c r="K8" s="28" t="n">
        <f aca="false">IF(AND(5&gt;=$D$8,5&lt;=$D$8+$E$8-1),$F$8/$E$8,0)</f>
        <v>0</v>
      </c>
      <c r="L8" s="28" t="n">
        <f aca="false">IF(AND(6&gt;=$D$8,6&lt;=$D$8+$E$8-1),$F$8/$E$8,0)</f>
        <v>0</v>
      </c>
      <c r="M8" s="28" t="n">
        <f aca="false">IF(AND(7&gt;=$D$8,7&lt;=$D$8+$E$8-1),$F$8/$E$8,0)</f>
        <v>0</v>
      </c>
      <c r="N8" s="28" t="n">
        <f aca="false">IF(AND(8&gt;=$D$8,8&lt;=$D$8+$E$8-1),$F$8/$E$8,0)</f>
        <v>218181818.181818</v>
      </c>
      <c r="O8" s="28" t="n">
        <f aca="false">IF(AND(9&gt;=$D$8,9&lt;=$D$8+$E$8-1),$F$8/$E$8,0)</f>
        <v>218181818.181818</v>
      </c>
      <c r="P8" s="28" t="n">
        <f aca="false">IF(AND(10&gt;=$D$8,10&lt;=$D$8+$E$8-1),$F$8/$E$8,0)</f>
        <v>218181818.181818</v>
      </c>
      <c r="Q8" s="28" t="n">
        <f aca="false">IF(AND(11&gt;=$D$8,11&lt;=$D$8+$E$8-1),$F$8/$E$8,0)</f>
        <v>218181818.181818</v>
      </c>
      <c r="R8" s="28" t="n">
        <f aca="false">IF(AND(12&gt;=$D$8,12&lt;=$D$8+$E$8-1),$F$8/$E$8,0)</f>
        <v>218181818.181818</v>
      </c>
      <c r="S8" s="28" t="n">
        <f aca="false">IF(AND(13&gt;=$D$8,13&lt;=$D$8+$E$8-1),$F$8/$E$8,0)</f>
        <v>218181818.181818</v>
      </c>
      <c r="T8" s="28" t="n">
        <f aca="false">IF(AND(14&gt;=$D$8,14&lt;=$D$8+$E$8-1),$F$8/$E$8,0)</f>
        <v>218181818.181818</v>
      </c>
      <c r="U8" s="28" t="n">
        <f aca="false">IF(AND(15&gt;=$D$8,15&lt;=$D$8+$E$8-1),$F$8/$E$8,0)</f>
        <v>218181818.181818</v>
      </c>
      <c r="V8" s="28" t="n">
        <f aca="false">IF(AND(16&gt;=$D$8,16&lt;=$D$8+$E$8-1),$F$8/$E$8,0)</f>
        <v>218181818.181818</v>
      </c>
      <c r="W8" s="28" t="n">
        <f aca="false">IF(AND(17&gt;=$D$8,17&lt;=$D$8+$E$8-1),$F$8/$E$8,0)</f>
        <v>218181818.181818</v>
      </c>
      <c r="X8" s="28" t="n">
        <f aca="false">IF(AND(18&gt;=$D$8,18&lt;=$D$8+$E$8-1),$F$8/$E$8,0)</f>
        <v>218181818.181818</v>
      </c>
      <c r="Y8" s="28" t="n">
        <f aca="false">IF(AND(19&gt;=$D$8,19&lt;=$D$8+$E$8-1),$F$8/$E$8,0)</f>
        <v>218181818.181818</v>
      </c>
      <c r="Z8" s="28" t="n">
        <f aca="false">IF(AND(20&gt;=$D$8,20&lt;=$D$8+$E$8-1),$F$8/$E$8,0)</f>
        <v>218181818.181818</v>
      </c>
      <c r="AA8" s="28" t="n">
        <f aca="false">IF(AND(21&gt;=$D$8,21&lt;=$D$8+$E$8-1),$F$8/$E$8,0)</f>
        <v>218181818.181818</v>
      </c>
      <c r="AB8" s="28" t="n">
        <f aca="false">IF(AND(22&gt;=$D$8,22&lt;=$D$8+$E$8-1),$F$8/$E$8,0)</f>
        <v>218181818.181818</v>
      </c>
      <c r="AC8" s="28" t="n">
        <f aca="false">IF(AND(23&gt;=$D$8,23&lt;=$D$8+$E$8-1),$F$8/$E$8,0)</f>
        <v>218181818.181818</v>
      </c>
      <c r="AD8" s="28" t="n">
        <f aca="false">IF(AND(24&gt;=$D$8,24&lt;=$D$8+$E$8-1),$F$8/$E$8,0)</f>
        <v>218181818.181818</v>
      </c>
      <c r="AE8" s="28" t="n">
        <f aca="false">IF(AND(25&gt;=$D$8,25&lt;=$D$8+$E$8-1),$F$8/$E$8,0)</f>
        <v>218181818.181818</v>
      </c>
      <c r="AF8" s="28" t="n">
        <f aca="false">IF(AND(26&gt;=$D$8,26&lt;=$D$8+$E$8-1),$F$8/$E$8,0)</f>
        <v>218181818.181818</v>
      </c>
      <c r="AG8" s="28" t="n">
        <f aca="false">IF(AND(27&gt;=$D$8,27&lt;=$D$8+$E$8-1),$F$8/$E$8,0)</f>
        <v>218181818.181818</v>
      </c>
      <c r="AH8" s="28" t="n">
        <f aca="false">IF(AND(28&gt;=$D$8,28&lt;=$D$8+$E$8-1),$F$8/$E$8,0)</f>
        <v>218181818.181818</v>
      </c>
      <c r="AI8" s="28" t="n">
        <f aca="false">IF(AND(29&gt;=$D$8,29&lt;=$D$8+$E$8-1),$F$8/$E$8,0)</f>
        <v>218181818.181818</v>
      </c>
      <c r="AJ8" s="28" t="n">
        <f aca="false">IF(AND(30&gt;=$D$8,30&lt;=$D$8+$E$8-1),$F$8/$E$8,0)</f>
        <v>0</v>
      </c>
      <c r="AK8" s="28" t="n">
        <f aca="false">IF(AND(31&gt;=$D$8,31&lt;=$D$8+$E$8-1),$F$8/$E$8,0)</f>
        <v>0</v>
      </c>
      <c r="AL8" s="28" t="n">
        <f aca="false">IF(AND(32&gt;=$D$8,32&lt;=$D$8+$E$8-1),$F$8/$E$8,0)</f>
        <v>0</v>
      </c>
      <c r="AM8" s="28" t="n">
        <f aca="false">IF(AND(33&gt;=$D$8,33&lt;=$D$8+$E$8-1),$F$8/$E$8,0)</f>
        <v>0</v>
      </c>
      <c r="AN8" s="28" t="n">
        <f aca="false">IF(AND(34&gt;=$D$8,34&lt;=$D$8+$E$8-1),$F$8/$E$8,0)</f>
        <v>0</v>
      </c>
      <c r="AO8" s="28" t="n">
        <f aca="false">IF(AND(35&gt;=$D$8,35&lt;=$D$8+$E$8-1),$F$8/$E$8,0)</f>
        <v>0</v>
      </c>
      <c r="AP8" s="28" t="n">
        <f aca="false">IF(AND(36&gt;=$D$8,36&lt;=$D$8+$E$8-1),$F$8/$E$8,0)</f>
        <v>0</v>
      </c>
      <c r="AQ8" s="28" t="n">
        <f aca="false">IF(AND(37&gt;=$D$8,37&lt;=$D$8+$E$8-1),$F$8/$E$8,0)</f>
        <v>0</v>
      </c>
      <c r="AR8" s="28" t="n">
        <f aca="false">IF(AND(38&gt;=$D$8,38&lt;=$D$8+$E$8-1),$F$8/$E$8,0)</f>
        <v>0</v>
      </c>
      <c r="AS8" s="28" t="n">
        <f aca="false">IF(AND(39&gt;=$D$8,39&lt;=$D$8+$E$8-1),$F$8/$E$8,0)</f>
        <v>0</v>
      </c>
      <c r="AT8" s="28" t="n">
        <f aca="false">IF(AND(40&gt;=$D$8,40&lt;=$D$8+$E$8-1),$F$8/$E$8,0)</f>
        <v>0</v>
      </c>
      <c r="AU8" s="28" t="n">
        <f aca="false">IF(AND(41&gt;=$D$8,41&lt;=$D$8+$E$8-1),$F$8/$E$8,0)</f>
        <v>0</v>
      </c>
      <c r="AV8" s="28" t="n">
        <f aca="false">IF(AND(42&gt;=$D$8,42&lt;=$D$8+$E$8-1),$F$8/$E$8,0)</f>
        <v>0</v>
      </c>
      <c r="AW8" s="28" t="n">
        <f aca="false">IF(AND(43&gt;=$D$8,43&lt;=$D$8+$E$8-1),$F$8/$E$8,0)</f>
        <v>0</v>
      </c>
      <c r="AX8" s="28" t="n">
        <f aca="false">IF(AND(44&gt;=$D$8,44&lt;=$D$8+$E$8-1),$F$8/$E$8,0)</f>
        <v>0</v>
      </c>
      <c r="AY8" s="28" t="n">
        <f aca="false">IF(AND(45&gt;=$D$8,45&lt;=$D$8+$E$8-1),$F$8/$E$8,0)</f>
        <v>0</v>
      </c>
      <c r="AZ8" s="28" t="n">
        <f aca="false">IF(AND(46&gt;=$D$8,46&lt;=$D$8+$E$8-1),$F$8/$E$8,0)</f>
        <v>0</v>
      </c>
      <c r="BA8" s="28" t="n">
        <f aca="false">IF(AND(47&gt;=$D$8,47&lt;=$D$8+$E$8-1),$F$8/$E$8,0)</f>
        <v>0</v>
      </c>
      <c r="BB8" s="28" t="n">
        <f aca="false">IF(AND(48&gt;=$D$8,48&lt;=$D$8+$E$8-1),$F$8/$E$8,0)</f>
        <v>0</v>
      </c>
      <c r="BC8" s="28" t="n">
        <f aca="false">IF(AND(49&gt;=$D$8,49&lt;=$D$8+$E$8-1),$F$8/$E$8,0)</f>
        <v>0</v>
      </c>
      <c r="BD8" s="28" t="n">
        <f aca="false">IF(AND(50&gt;=$D$8,50&lt;=$D$8+$E$8-1),$F$8/$E$8,0)</f>
        <v>0</v>
      </c>
      <c r="BE8" s="28" t="n">
        <f aca="false">IF(AND(51&gt;=$D$8,51&lt;=$D$8+$E$8-1),$F$8/$E$8,0)</f>
        <v>0</v>
      </c>
      <c r="BF8" s="28" t="n">
        <f aca="false">IF(AND(52&gt;=$D$8,52&lt;=$D$8+$E$8-1),$F$8/$E$8,0)</f>
        <v>0</v>
      </c>
      <c r="BG8" s="28" t="n">
        <f aca="false">IF(AND(53&gt;=$D$8,53&lt;=$D$8+$E$8-1),$F$8/$E$8,0)</f>
        <v>0</v>
      </c>
      <c r="BH8" s="28" t="n">
        <f aca="false">IF(AND(54&gt;=$D$8,54&lt;=$D$8+$E$8-1),$F$8/$E$8,0)</f>
        <v>0</v>
      </c>
      <c r="BI8" s="28" t="n">
        <f aca="false">IF(AND(55&gt;=$D$8,55&lt;=$D$8+$E$8-1),$F$8/$E$8,0)</f>
        <v>0</v>
      </c>
      <c r="BJ8" s="28" t="n">
        <f aca="false">IF(AND(56&gt;=$D$8,56&lt;=$D$8+$E$8-1),$F$8/$E$8,0)</f>
        <v>0</v>
      </c>
      <c r="BK8" s="28" t="n">
        <f aca="false">IF(AND(57&gt;=$D$8,57&lt;=$D$8+$E$8-1),$F$8/$E$8,0)</f>
        <v>0</v>
      </c>
      <c r="BL8" s="28" t="n">
        <f aca="false">IF(AND(58&gt;=$D$8,58&lt;=$D$8+$E$8-1),$F$8/$E$8,0)</f>
        <v>0</v>
      </c>
      <c r="BM8" s="28" t="n">
        <f aca="false">IF(AND(59&gt;=$D$8,59&lt;=$D$8+$E$8-1),$F$8/$E$8,0)</f>
        <v>0</v>
      </c>
      <c r="BN8" s="28" t="n">
        <f aca="false">IF(AND(60&gt;=$D$8,60&lt;=$D$8+$E$8-1),$F$8/$E$8,0)</f>
        <v>0</v>
      </c>
    </row>
    <row r="9" customFormat="false" ht="15" hidden="false" customHeight="false" outlineLevel="0" collapsed="false">
      <c r="A9" s="6" t="s">
        <v>326</v>
      </c>
      <c r="B9" s="7" t="s">
        <v>327</v>
      </c>
      <c r="C9" s="7" t="s">
        <v>313</v>
      </c>
      <c r="D9" s="17" t="n">
        <v>11</v>
      </c>
      <c r="E9" s="17" t="n">
        <v>18</v>
      </c>
      <c r="F9" s="29" t="n">
        <v>4500000000</v>
      </c>
      <c r="G9" s="28" t="n">
        <f aca="false">IF(AND(1&gt;=$D$9,1&lt;=$D$9+$E$9-1),$F$9/$E$9,0)</f>
        <v>0</v>
      </c>
      <c r="H9" s="28" t="n">
        <f aca="false">IF(AND(2&gt;=$D$9,2&lt;=$D$9+$E$9-1),$F$9/$E$9,0)</f>
        <v>0</v>
      </c>
      <c r="I9" s="28" t="n">
        <f aca="false">IF(AND(3&gt;=$D$9,3&lt;=$D$9+$E$9-1),$F$9/$E$9,0)</f>
        <v>0</v>
      </c>
      <c r="J9" s="28" t="n">
        <f aca="false">IF(AND(4&gt;=$D$9,4&lt;=$D$9+$E$9-1),$F$9/$E$9,0)</f>
        <v>0</v>
      </c>
      <c r="K9" s="28" t="n">
        <f aca="false">IF(AND(5&gt;=$D$9,5&lt;=$D$9+$E$9-1),$F$9/$E$9,0)</f>
        <v>0</v>
      </c>
      <c r="L9" s="28" t="n">
        <f aca="false">IF(AND(6&gt;=$D$9,6&lt;=$D$9+$E$9-1),$F$9/$E$9,0)</f>
        <v>0</v>
      </c>
      <c r="M9" s="28" t="n">
        <f aca="false">IF(AND(7&gt;=$D$9,7&lt;=$D$9+$E$9-1),$F$9/$E$9,0)</f>
        <v>0</v>
      </c>
      <c r="N9" s="28" t="n">
        <f aca="false">IF(AND(8&gt;=$D$9,8&lt;=$D$9+$E$9-1),$F$9/$E$9,0)</f>
        <v>0</v>
      </c>
      <c r="O9" s="28" t="n">
        <f aca="false">IF(AND(9&gt;=$D$9,9&lt;=$D$9+$E$9-1),$F$9/$E$9,0)</f>
        <v>0</v>
      </c>
      <c r="P9" s="28" t="n">
        <f aca="false">IF(AND(10&gt;=$D$9,10&lt;=$D$9+$E$9-1),$F$9/$E$9,0)</f>
        <v>0</v>
      </c>
      <c r="Q9" s="28" t="n">
        <f aca="false">IF(AND(11&gt;=$D$9,11&lt;=$D$9+$E$9-1),$F$9/$E$9,0)</f>
        <v>250000000</v>
      </c>
      <c r="R9" s="28" t="n">
        <f aca="false">IF(AND(12&gt;=$D$9,12&lt;=$D$9+$E$9-1),$F$9/$E$9,0)</f>
        <v>250000000</v>
      </c>
      <c r="S9" s="28" t="n">
        <f aca="false">IF(AND(13&gt;=$D$9,13&lt;=$D$9+$E$9-1),$F$9/$E$9,0)</f>
        <v>250000000</v>
      </c>
      <c r="T9" s="28" t="n">
        <f aca="false">IF(AND(14&gt;=$D$9,14&lt;=$D$9+$E$9-1),$F$9/$E$9,0)</f>
        <v>250000000</v>
      </c>
      <c r="U9" s="28" t="n">
        <f aca="false">IF(AND(15&gt;=$D$9,15&lt;=$D$9+$E$9-1),$F$9/$E$9,0)</f>
        <v>250000000</v>
      </c>
      <c r="V9" s="28" t="n">
        <f aca="false">IF(AND(16&gt;=$D$9,16&lt;=$D$9+$E$9-1),$F$9/$E$9,0)</f>
        <v>250000000</v>
      </c>
      <c r="W9" s="28" t="n">
        <f aca="false">IF(AND(17&gt;=$D$9,17&lt;=$D$9+$E$9-1),$F$9/$E$9,0)</f>
        <v>250000000</v>
      </c>
      <c r="X9" s="28" t="n">
        <f aca="false">IF(AND(18&gt;=$D$9,18&lt;=$D$9+$E$9-1),$F$9/$E$9,0)</f>
        <v>250000000</v>
      </c>
      <c r="Y9" s="28" t="n">
        <f aca="false">IF(AND(19&gt;=$D$9,19&lt;=$D$9+$E$9-1),$F$9/$E$9,0)</f>
        <v>250000000</v>
      </c>
      <c r="Z9" s="28" t="n">
        <f aca="false">IF(AND(20&gt;=$D$9,20&lt;=$D$9+$E$9-1),$F$9/$E$9,0)</f>
        <v>250000000</v>
      </c>
      <c r="AA9" s="28" t="n">
        <f aca="false">IF(AND(21&gt;=$D$9,21&lt;=$D$9+$E$9-1),$F$9/$E$9,0)</f>
        <v>250000000</v>
      </c>
      <c r="AB9" s="28" t="n">
        <f aca="false">IF(AND(22&gt;=$D$9,22&lt;=$D$9+$E$9-1),$F$9/$E$9,0)</f>
        <v>250000000</v>
      </c>
      <c r="AC9" s="28" t="n">
        <f aca="false">IF(AND(23&gt;=$D$9,23&lt;=$D$9+$E$9-1),$F$9/$E$9,0)</f>
        <v>250000000</v>
      </c>
      <c r="AD9" s="28" t="n">
        <f aca="false">IF(AND(24&gt;=$D$9,24&lt;=$D$9+$E$9-1),$F$9/$E$9,0)</f>
        <v>250000000</v>
      </c>
      <c r="AE9" s="28" t="n">
        <f aca="false">IF(AND(25&gt;=$D$9,25&lt;=$D$9+$E$9-1),$F$9/$E$9,0)</f>
        <v>250000000</v>
      </c>
      <c r="AF9" s="28" t="n">
        <f aca="false">IF(AND(26&gt;=$D$9,26&lt;=$D$9+$E$9-1),$F$9/$E$9,0)</f>
        <v>250000000</v>
      </c>
      <c r="AG9" s="28" t="n">
        <f aca="false">IF(AND(27&gt;=$D$9,27&lt;=$D$9+$E$9-1),$F$9/$E$9,0)</f>
        <v>250000000</v>
      </c>
      <c r="AH9" s="28" t="n">
        <f aca="false">IF(AND(28&gt;=$D$9,28&lt;=$D$9+$E$9-1),$F$9/$E$9,0)</f>
        <v>250000000</v>
      </c>
      <c r="AI9" s="28" t="n">
        <f aca="false">IF(AND(29&gt;=$D$9,29&lt;=$D$9+$E$9-1),$F$9/$E$9,0)</f>
        <v>0</v>
      </c>
      <c r="AJ9" s="28" t="n">
        <f aca="false">IF(AND(30&gt;=$D$9,30&lt;=$D$9+$E$9-1),$F$9/$E$9,0)</f>
        <v>0</v>
      </c>
      <c r="AK9" s="28" t="n">
        <f aca="false">IF(AND(31&gt;=$D$9,31&lt;=$D$9+$E$9-1),$F$9/$E$9,0)</f>
        <v>0</v>
      </c>
      <c r="AL9" s="28" t="n">
        <f aca="false">IF(AND(32&gt;=$D$9,32&lt;=$D$9+$E$9-1),$F$9/$E$9,0)</f>
        <v>0</v>
      </c>
      <c r="AM9" s="28" t="n">
        <f aca="false">IF(AND(33&gt;=$D$9,33&lt;=$D$9+$E$9-1),$F$9/$E$9,0)</f>
        <v>0</v>
      </c>
      <c r="AN9" s="28" t="n">
        <f aca="false">IF(AND(34&gt;=$D$9,34&lt;=$D$9+$E$9-1),$F$9/$E$9,0)</f>
        <v>0</v>
      </c>
      <c r="AO9" s="28" t="n">
        <f aca="false">IF(AND(35&gt;=$D$9,35&lt;=$D$9+$E$9-1),$F$9/$E$9,0)</f>
        <v>0</v>
      </c>
      <c r="AP9" s="28" t="n">
        <f aca="false">IF(AND(36&gt;=$D$9,36&lt;=$D$9+$E$9-1),$F$9/$E$9,0)</f>
        <v>0</v>
      </c>
      <c r="AQ9" s="28" t="n">
        <f aca="false">IF(AND(37&gt;=$D$9,37&lt;=$D$9+$E$9-1),$F$9/$E$9,0)</f>
        <v>0</v>
      </c>
      <c r="AR9" s="28" t="n">
        <f aca="false">IF(AND(38&gt;=$D$9,38&lt;=$D$9+$E$9-1),$F$9/$E$9,0)</f>
        <v>0</v>
      </c>
      <c r="AS9" s="28" t="n">
        <f aca="false">IF(AND(39&gt;=$D$9,39&lt;=$D$9+$E$9-1),$F$9/$E$9,0)</f>
        <v>0</v>
      </c>
      <c r="AT9" s="28" t="n">
        <f aca="false">IF(AND(40&gt;=$D$9,40&lt;=$D$9+$E$9-1),$F$9/$E$9,0)</f>
        <v>0</v>
      </c>
      <c r="AU9" s="28" t="n">
        <f aca="false">IF(AND(41&gt;=$D$9,41&lt;=$D$9+$E$9-1),$F$9/$E$9,0)</f>
        <v>0</v>
      </c>
      <c r="AV9" s="28" t="n">
        <f aca="false">IF(AND(42&gt;=$D$9,42&lt;=$D$9+$E$9-1),$F$9/$E$9,0)</f>
        <v>0</v>
      </c>
      <c r="AW9" s="28" t="n">
        <f aca="false">IF(AND(43&gt;=$D$9,43&lt;=$D$9+$E$9-1),$F$9/$E$9,0)</f>
        <v>0</v>
      </c>
      <c r="AX9" s="28" t="n">
        <f aca="false">IF(AND(44&gt;=$D$9,44&lt;=$D$9+$E$9-1),$F$9/$E$9,0)</f>
        <v>0</v>
      </c>
      <c r="AY9" s="28" t="n">
        <f aca="false">IF(AND(45&gt;=$D$9,45&lt;=$D$9+$E$9-1),$F$9/$E$9,0)</f>
        <v>0</v>
      </c>
      <c r="AZ9" s="28" t="n">
        <f aca="false">IF(AND(46&gt;=$D$9,46&lt;=$D$9+$E$9-1),$F$9/$E$9,0)</f>
        <v>0</v>
      </c>
      <c r="BA9" s="28" t="n">
        <f aca="false">IF(AND(47&gt;=$D$9,47&lt;=$D$9+$E$9-1),$F$9/$E$9,0)</f>
        <v>0</v>
      </c>
      <c r="BB9" s="28" t="n">
        <f aca="false">IF(AND(48&gt;=$D$9,48&lt;=$D$9+$E$9-1),$F$9/$E$9,0)</f>
        <v>0</v>
      </c>
      <c r="BC9" s="28" t="n">
        <f aca="false">IF(AND(49&gt;=$D$9,49&lt;=$D$9+$E$9-1),$F$9/$E$9,0)</f>
        <v>0</v>
      </c>
      <c r="BD9" s="28" t="n">
        <f aca="false">IF(AND(50&gt;=$D$9,50&lt;=$D$9+$E$9-1),$F$9/$E$9,0)</f>
        <v>0</v>
      </c>
      <c r="BE9" s="28" t="n">
        <f aca="false">IF(AND(51&gt;=$D$9,51&lt;=$D$9+$E$9-1),$F$9/$E$9,0)</f>
        <v>0</v>
      </c>
      <c r="BF9" s="28" t="n">
        <f aca="false">IF(AND(52&gt;=$D$9,52&lt;=$D$9+$E$9-1),$F$9/$E$9,0)</f>
        <v>0</v>
      </c>
      <c r="BG9" s="28" t="n">
        <f aca="false">IF(AND(53&gt;=$D$9,53&lt;=$D$9+$E$9-1),$F$9/$E$9,0)</f>
        <v>0</v>
      </c>
      <c r="BH9" s="28" t="n">
        <f aca="false">IF(AND(54&gt;=$D$9,54&lt;=$D$9+$E$9-1),$F$9/$E$9,0)</f>
        <v>0</v>
      </c>
      <c r="BI9" s="28" t="n">
        <f aca="false">IF(AND(55&gt;=$D$9,55&lt;=$D$9+$E$9-1),$F$9/$E$9,0)</f>
        <v>0</v>
      </c>
      <c r="BJ9" s="28" t="n">
        <f aca="false">IF(AND(56&gt;=$D$9,56&lt;=$D$9+$E$9-1),$F$9/$E$9,0)</f>
        <v>0</v>
      </c>
      <c r="BK9" s="28" t="n">
        <f aca="false">IF(AND(57&gt;=$D$9,57&lt;=$D$9+$E$9-1),$F$9/$E$9,0)</f>
        <v>0</v>
      </c>
      <c r="BL9" s="28" t="n">
        <f aca="false">IF(AND(58&gt;=$D$9,58&lt;=$D$9+$E$9-1),$F$9/$E$9,0)</f>
        <v>0</v>
      </c>
      <c r="BM9" s="28" t="n">
        <f aca="false">IF(AND(59&gt;=$D$9,59&lt;=$D$9+$E$9-1),$F$9/$E$9,0)</f>
        <v>0</v>
      </c>
      <c r="BN9" s="28" t="n">
        <f aca="false">IF(AND(60&gt;=$D$9,60&lt;=$D$9+$E$9-1),$F$9/$E$9,0)</f>
        <v>0</v>
      </c>
    </row>
    <row r="10" customFormat="false" ht="15" hidden="false" customHeight="false" outlineLevel="0" collapsed="false">
      <c r="A10" s="6" t="s">
        <v>328</v>
      </c>
      <c r="B10" s="7" t="s">
        <v>329</v>
      </c>
      <c r="C10" s="7" t="s">
        <v>316</v>
      </c>
      <c r="D10" s="17" t="n">
        <v>14</v>
      </c>
      <c r="E10" s="17" t="n">
        <v>16</v>
      </c>
      <c r="F10" s="29" t="n">
        <v>3200000000</v>
      </c>
      <c r="G10" s="28" t="n">
        <f aca="false">IF(AND(1&gt;=$D$10,1&lt;=$D$10+$E$10-1),$F$10/$E$10,0)</f>
        <v>0</v>
      </c>
      <c r="H10" s="28" t="n">
        <f aca="false">IF(AND(2&gt;=$D$10,2&lt;=$D$10+$E$10-1),$F$10/$E$10,0)</f>
        <v>0</v>
      </c>
      <c r="I10" s="28" t="n">
        <f aca="false">IF(AND(3&gt;=$D$10,3&lt;=$D$10+$E$10-1),$F$10/$E$10,0)</f>
        <v>0</v>
      </c>
      <c r="J10" s="28" t="n">
        <f aca="false">IF(AND(4&gt;=$D$10,4&lt;=$D$10+$E$10-1),$F$10/$E$10,0)</f>
        <v>0</v>
      </c>
      <c r="K10" s="28" t="n">
        <f aca="false">IF(AND(5&gt;=$D$10,5&lt;=$D$10+$E$10-1),$F$10/$E$10,0)</f>
        <v>0</v>
      </c>
      <c r="L10" s="28" t="n">
        <f aca="false">IF(AND(6&gt;=$D$10,6&lt;=$D$10+$E$10-1),$F$10/$E$10,0)</f>
        <v>0</v>
      </c>
      <c r="M10" s="28" t="n">
        <f aca="false">IF(AND(7&gt;=$D$10,7&lt;=$D$10+$E$10-1),$F$10/$E$10,0)</f>
        <v>0</v>
      </c>
      <c r="N10" s="28" t="n">
        <f aca="false">IF(AND(8&gt;=$D$10,8&lt;=$D$10+$E$10-1),$F$10/$E$10,0)</f>
        <v>0</v>
      </c>
      <c r="O10" s="28" t="n">
        <f aca="false">IF(AND(9&gt;=$D$10,9&lt;=$D$10+$E$10-1),$F$10/$E$10,0)</f>
        <v>0</v>
      </c>
      <c r="P10" s="28" t="n">
        <f aca="false">IF(AND(10&gt;=$D$10,10&lt;=$D$10+$E$10-1),$F$10/$E$10,0)</f>
        <v>0</v>
      </c>
      <c r="Q10" s="28" t="n">
        <f aca="false">IF(AND(11&gt;=$D$10,11&lt;=$D$10+$E$10-1),$F$10/$E$10,0)</f>
        <v>0</v>
      </c>
      <c r="R10" s="28" t="n">
        <f aca="false">IF(AND(12&gt;=$D$10,12&lt;=$D$10+$E$10-1),$F$10/$E$10,0)</f>
        <v>0</v>
      </c>
      <c r="S10" s="28" t="n">
        <f aca="false">IF(AND(13&gt;=$D$10,13&lt;=$D$10+$E$10-1),$F$10/$E$10,0)</f>
        <v>0</v>
      </c>
      <c r="T10" s="28" t="n">
        <f aca="false">IF(AND(14&gt;=$D$10,14&lt;=$D$10+$E$10-1),$F$10/$E$10,0)</f>
        <v>200000000</v>
      </c>
      <c r="U10" s="28" t="n">
        <f aca="false">IF(AND(15&gt;=$D$10,15&lt;=$D$10+$E$10-1),$F$10/$E$10,0)</f>
        <v>200000000</v>
      </c>
      <c r="V10" s="28" t="n">
        <f aca="false">IF(AND(16&gt;=$D$10,16&lt;=$D$10+$E$10-1),$F$10/$E$10,0)</f>
        <v>200000000</v>
      </c>
      <c r="W10" s="28" t="n">
        <f aca="false">IF(AND(17&gt;=$D$10,17&lt;=$D$10+$E$10-1),$F$10/$E$10,0)</f>
        <v>200000000</v>
      </c>
      <c r="X10" s="28" t="n">
        <f aca="false">IF(AND(18&gt;=$D$10,18&lt;=$D$10+$E$10-1),$F$10/$E$10,0)</f>
        <v>200000000</v>
      </c>
      <c r="Y10" s="28" t="n">
        <f aca="false">IF(AND(19&gt;=$D$10,19&lt;=$D$10+$E$10-1),$F$10/$E$10,0)</f>
        <v>200000000</v>
      </c>
      <c r="Z10" s="28" t="n">
        <f aca="false">IF(AND(20&gt;=$D$10,20&lt;=$D$10+$E$10-1),$F$10/$E$10,0)</f>
        <v>200000000</v>
      </c>
      <c r="AA10" s="28" t="n">
        <f aca="false">IF(AND(21&gt;=$D$10,21&lt;=$D$10+$E$10-1),$F$10/$E$10,0)</f>
        <v>200000000</v>
      </c>
      <c r="AB10" s="28" t="n">
        <f aca="false">IF(AND(22&gt;=$D$10,22&lt;=$D$10+$E$10-1),$F$10/$E$10,0)</f>
        <v>200000000</v>
      </c>
      <c r="AC10" s="28" t="n">
        <f aca="false">IF(AND(23&gt;=$D$10,23&lt;=$D$10+$E$10-1),$F$10/$E$10,0)</f>
        <v>200000000</v>
      </c>
      <c r="AD10" s="28" t="n">
        <f aca="false">IF(AND(24&gt;=$D$10,24&lt;=$D$10+$E$10-1),$F$10/$E$10,0)</f>
        <v>200000000</v>
      </c>
      <c r="AE10" s="28" t="n">
        <f aca="false">IF(AND(25&gt;=$D$10,25&lt;=$D$10+$E$10-1),$F$10/$E$10,0)</f>
        <v>200000000</v>
      </c>
      <c r="AF10" s="28" t="n">
        <f aca="false">IF(AND(26&gt;=$D$10,26&lt;=$D$10+$E$10-1),$F$10/$E$10,0)</f>
        <v>200000000</v>
      </c>
      <c r="AG10" s="28" t="n">
        <f aca="false">IF(AND(27&gt;=$D$10,27&lt;=$D$10+$E$10-1),$F$10/$E$10,0)</f>
        <v>200000000</v>
      </c>
      <c r="AH10" s="28" t="n">
        <f aca="false">IF(AND(28&gt;=$D$10,28&lt;=$D$10+$E$10-1),$F$10/$E$10,0)</f>
        <v>200000000</v>
      </c>
      <c r="AI10" s="28" t="n">
        <f aca="false">IF(AND(29&gt;=$D$10,29&lt;=$D$10+$E$10-1),$F$10/$E$10,0)</f>
        <v>200000000</v>
      </c>
      <c r="AJ10" s="28" t="n">
        <f aca="false">IF(AND(30&gt;=$D$10,30&lt;=$D$10+$E$10-1),$F$10/$E$10,0)</f>
        <v>0</v>
      </c>
      <c r="AK10" s="28" t="n">
        <f aca="false">IF(AND(31&gt;=$D$10,31&lt;=$D$10+$E$10-1),$F$10/$E$10,0)</f>
        <v>0</v>
      </c>
      <c r="AL10" s="28" t="n">
        <f aca="false">IF(AND(32&gt;=$D$10,32&lt;=$D$10+$E$10-1),$F$10/$E$10,0)</f>
        <v>0</v>
      </c>
      <c r="AM10" s="28" t="n">
        <f aca="false">IF(AND(33&gt;=$D$10,33&lt;=$D$10+$E$10-1),$F$10/$E$10,0)</f>
        <v>0</v>
      </c>
      <c r="AN10" s="28" t="n">
        <f aca="false">IF(AND(34&gt;=$D$10,34&lt;=$D$10+$E$10-1),$F$10/$E$10,0)</f>
        <v>0</v>
      </c>
      <c r="AO10" s="28" t="n">
        <f aca="false">IF(AND(35&gt;=$D$10,35&lt;=$D$10+$E$10-1),$F$10/$E$10,0)</f>
        <v>0</v>
      </c>
      <c r="AP10" s="28" t="n">
        <f aca="false">IF(AND(36&gt;=$D$10,36&lt;=$D$10+$E$10-1),$F$10/$E$10,0)</f>
        <v>0</v>
      </c>
      <c r="AQ10" s="28" t="n">
        <f aca="false">IF(AND(37&gt;=$D$10,37&lt;=$D$10+$E$10-1),$F$10/$E$10,0)</f>
        <v>0</v>
      </c>
      <c r="AR10" s="28" t="n">
        <f aca="false">IF(AND(38&gt;=$D$10,38&lt;=$D$10+$E$10-1),$F$10/$E$10,0)</f>
        <v>0</v>
      </c>
      <c r="AS10" s="28" t="n">
        <f aca="false">IF(AND(39&gt;=$D$10,39&lt;=$D$10+$E$10-1),$F$10/$E$10,0)</f>
        <v>0</v>
      </c>
      <c r="AT10" s="28" t="n">
        <f aca="false">IF(AND(40&gt;=$D$10,40&lt;=$D$10+$E$10-1),$F$10/$E$10,0)</f>
        <v>0</v>
      </c>
      <c r="AU10" s="28" t="n">
        <f aca="false">IF(AND(41&gt;=$D$10,41&lt;=$D$10+$E$10-1),$F$10/$E$10,0)</f>
        <v>0</v>
      </c>
      <c r="AV10" s="28" t="n">
        <f aca="false">IF(AND(42&gt;=$D$10,42&lt;=$D$10+$E$10-1),$F$10/$E$10,0)</f>
        <v>0</v>
      </c>
      <c r="AW10" s="28" t="n">
        <f aca="false">IF(AND(43&gt;=$D$10,43&lt;=$D$10+$E$10-1),$F$10/$E$10,0)</f>
        <v>0</v>
      </c>
      <c r="AX10" s="28" t="n">
        <f aca="false">IF(AND(44&gt;=$D$10,44&lt;=$D$10+$E$10-1),$F$10/$E$10,0)</f>
        <v>0</v>
      </c>
      <c r="AY10" s="28" t="n">
        <f aca="false">IF(AND(45&gt;=$D$10,45&lt;=$D$10+$E$10-1),$F$10/$E$10,0)</f>
        <v>0</v>
      </c>
      <c r="AZ10" s="28" t="n">
        <f aca="false">IF(AND(46&gt;=$D$10,46&lt;=$D$10+$E$10-1),$F$10/$E$10,0)</f>
        <v>0</v>
      </c>
      <c r="BA10" s="28" t="n">
        <f aca="false">IF(AND(47&gt;=$D$10,47&lt;=$D$10+$E$10-1),$F$10/$E$10,0)</f>
        <v>0</v>
      </c>
      <c r="BB10" s="28" t="n">
        <f aca="false">IF(AND(48&gt;=$D$10,48&lt;=$D$10+$E$10-1),$F$10/$E$10,0)</f>
        <v>0</v>
      </c>
      <c r="BC10" s="28" t="n">
        <f aca="false">IF(AND(49&gt;=$D$10,49&lt;=$D$10+$E$10-1),$F$10/$E$10,0)</f>
        <v>0</v>
      </c>
      <c r="BD10" s="28" t="n">
        <f aca="false">IF(AND(50&gt;=$D$10,50&lt;=$D$10+$E$10-1),$F$10/$E$10,0)</f>
        <v>0</v>
      </c>
      <c r="BE10" s="28" t="n">
        <f aca="false">IF(AND(51&gt;=$D$10,51&lt;=$D$10+$E$10-1),$F$10/$E$10,0)</f>
        <v>0</v>
      </c>
      <c r="BF10" s="28" t="n">
        <f aca="false">IF(AND(52&gt;=$D$10,52&lt;=$D$10+$E$10-1),$F$10/$E$10,0)</f>
        <v>0</v>
      </c>
      <c r="BG10" s="28" t="n">
        <f aca="false">IF(AND(53&gt;=$D$10,53&lt;=$D$10+$E$10-1),$F$10/$E$10,0)</f>
        <v>0</v>
      </c>
      <c r="BH10" s="28" t="n">
        <f aca="false">IF(AND(54&gt;=$D$10,54&lt;=$D$10+$E$10-1),$F$10/$E$10,0)</f>
        <v>0</v>
      </c>
      <c r="BI10" s="28" t="n">
        <f aca="false">IF(AND(55&gt;=$D$10,55&lt;=$D$10+$E$10-1),$F$10/$E$10,0)</f>
        <v>0</v>
      </c>
      <c r="BJ10" s="28" t="n">
        <f aca="false">IF(AND(56&gt;=$D$10,56&lt;=$D$10+$E$10-1),$F$10/$E$10,0)</f>
        <v>0</v>
      </c>
      <c r="BK10" s="28" t="n">
        <f aca="false">IF(AND(57&gt;=$D$10,57&lt;=$D$10+$E$10-1),$F$10/$E$10,0)</f>
        <v>0</v>
      </c>
      <c r="BL10" s="28" t="n">
        <f aca="false">IF(AND(58&gt;=$D$10,58&lt;=$D$10+$E$10-1),$F$10/$E$10,0)</f>
        <v>0</v>
      </c>
      <c r="BM10" s="28" t="n">
        <f aca="false">IF(AND(59&gt;=$D$10,59&lt;=$D$10+$E$10-1),$F$10/$E$10,0)</f>
        <v>0</v>
      </c>
      <c r="BN10" s="28" t="n">
        <f aca="false">IF(AND(60&gt;=$D$10,60&lt;=$D$10+$E$10-1),$F$10/$E$10,0)</f>
        <v>0</v>
      </c>
    </row>
    <row r="11" customFormat="false" ht="15" hidden="false" customHeight="false" outlineLevel="0" collapsed="false">
      <c r="A11" s="6" t="s">
        <v>330</v>
      </c>
      <c r="B11" s="7" t="s">
        <v>331</v>
      </c>
      <c r="C11" s="7" t="s">
        <v>319</v>
      </c>
      <c r="D11" s="17" t="n">
        <v>18</v>
      </c>
      <c r="E11" s="17" t="n">
        <v>20</v>
      </c>
      <c r="F11" s="29" t="n">
        <v>5200000000</v>
      </c>
      <c r="G11" s="28" t="n">
        <f aca="false">IF(AND(1&gt;=$D$11,1&lt;=$D$11+$E$11-1),$F$11/$E$11,0)</f>
        <v>0</v>
      </c>
      <c r="H11" s="28" t="n">
        <f aca="false">IF(AND(2&gt;=$D$11,2&lt;=$D$11+$E$11-1),$F$11/$E$11,0)</f>
        <v>0</v>
      </c>
      <c r="I11" s="28" t="n">
        <f aca="false">IF(AND(3&gt;=$D$11,3&lt;=$D$11+$E$11-1),$F$11/$E$11,0)</f>
        <v>0</v>
      </c>
      <c r="J11" s="28" t="n">
        <f aca="false">IF(AND(4&gt;=$D$11,4&lt;=$D$11+$E$11-1),$F$11/$E$11,0)</f>
        <v>0</v>
      </c>
      <c r="K11" s="28" t="n">
        <f aca="false">IF(AND(5&gt;=$D$11,5&lt;=$D$11+$E$11-1),$F$11/$E$11,0)</f>
        <v>0</v>
      </c>
      <c r="L11" s="28" t="n">
        <f aca="false">IF(AND(6&gt;=$D$11,6&lt;=$D$11+$E$11-1),$F$11/$E$11,0)</f>
        <v>0</v>
      </c>
      <c r="M11" s="28" t="n">
        <f aca="false">IF(AND(7&gt;=$D$11,7&lt;=$D$11+$E$11-1),$F$11/$E$11,0)</f>
        <v>0</v>
      </c>
      <c r="N11" s="28" t="n">
        <f aca="false">IF(AND(8&gt;=$D$11,8&lt;=$D$11+$E$11-1),$F$11/$E$11,0)</f>
        <v>0</v>
      </c>
      <c r="O11" s="28" t="n">
        <f aca="false">IF(AND(9&gt;=$D$11,9&lt;=$D$11+$E$11-1),$F$11/$E$11,0)</f>
        <v>0</v>
      </c>
      <c r="P11" s="28" t="n">
        <f aca="false">IF(AND(10&gt;=$D$11,10&lt;=$D$11+$E$11-1),$F$11/$E$11,0)</f>
        <v>0</v>
      </c>
      <c r="Q11" s="28" t="n">
        <f aca="false">IF(AND(11&gt;=$D$11,11&lt;=$D$11+$E$11-1),$F$11/$E$11,0)</f>
        <v>0</v>
      </c>
      <c r="R11" s="28" t="n">
        <f aca="false">IF(AND(12&gt;=$D$11,12&lt;=$D$11+$E$11-1),$F$11/$E$11,0)</f>
        <v>0</v>
      </c>
      <c r="S11" s="28" t="n">
        <f aca="false">IF(AND(13&gt;=$D$11,13&lt;=$D$11+$E$11-1),$F$11/$E$11,0)</f>
        <v>0</v>
      </c>
      <c r="T11" s="28" t="n">
        <f aca="false">IF(AND(14&gt;=$D$11,14&lt;=$D$11+$E$11-1),$F$11/$E$11,0)</f>
        <v>0</v>
      </c>
      <c r="U11" s="28" t="n">
        <f aca="false">IF(AND(15&gt;=$D$11,15&lt;=$D$11+$E$11-1),$F$11/$E$11,0)</f>
        <v>0</v>
      </c>
      <c r="V11" s="28" t="n">
        <f aca="false">IF(AND(16&gt;=$D$11,16&lt;=$D$11+$E$11-1),$F$11/$E$11,0)</f>
        <v>0</v>
      </c>
      <c r="W11" s="28" t="n">
        <f aca="false">IF(AND(17&gt;=$D$11,17&lt;=$D$11+$E$11-1),$F$11/$E$11,0)</f>
        <v>0</v>
      </c>
      <c r="X11" s="28" t="n">
        <f aca="false">IF(AND(18&gt;=$D$11,18&lt;=$D$11+$E$11-1),$F$11/$E$11,0)</f>
        <v>260000000</v>
      </c>
      <c r="Y11" s="28" t="n">
        <f aca="false">IF(AND(19&gt;=$D$11,19&lt;=$D$11+$E$11-1),$F$11/$E$11,0)</f>
        <v>260000000</v>
      </c>
      <c r="Z11" s="28" t="n">
        <f aca="false">IF(AND(20&gt;=$D$11,20&lt;=$D$11+$E$11-1),$F$11/$E$11,0)</f>
        <v>260000000</v>
      </c>
      <c r="AA11" s="28" t="n">
        <f aca="false">IF(AND(21&gt;=$D$11,21&lt;=$D$11+$E$11-1),$F$11/$E$11,0)</f>
        <v>260000000</v>
      </c>
      <c r="AB11" s="28" t="n">
        <f aca="false">IF(AND(22&gt;=$D$11,22&lt;=$D$11+$E$11-1),$F$11/$E$11,0)</f>
        <v>260000000</v>
      </c>
      <c r="AC11" s="28" t="n">
        <f aca="false">IF(AND(23&gt;=$D$11,23&lt;=$D$11+$E$11-1),$F$11/$E$11,0)</f>
        <v>260000000</v>
      </c>
      <c r="AD11" s="28" t="n">
        <f aca="false">IF(AND(24&gt;=$D$11,24&lt;=$D$11+$E$11-1),$F$11/$E$11,0)</f>
        <v>260000000</v>
      </c>
      <c r="AE11" s="28" t="n">
        <f aca="false">IF(AND(25&gt;=$D$11,25&lt;=$D$11+$E$11-1),$F$11/$E$11,0)</f>
        <v>260000000</v>
      </c>
      <c r="AF11" s="28" t="n">
        <f aca="false">IF(AND(26&gt;=$D$11,26&lt;=$D$11+$E$11-1),$F$11/$E$11,0)</f>
        <v>260000000</v>
      </c>
      <c r="AG11" s="28" t="n">
        <f aca="false">IF(AND(27&gt;=$D$11,27&lt;=$D$11+$E$11-1),$F$11/$E$11,0)</f>
        <v>260000000</v>
      </c>
      <c r="AH11" s="28" t="n">
        <f aca="false">IF(AND(28&gt;=$D$11,28&lt;=$D$11+$E$11-1),$F$11/$E$11,0)</f>
        <v>260000000</v>
      </c>
      <c r="AI11" s="28" t="n">
        <f aca="false">IF(AND(29&gt;=$D$11,29&lt;=$D$11+$E$11-1),$F$11/$E$11,0)</f>
        <v>260000000</v>
      </c>
      <c r="AJ11" s="28" t="n">
        <f aca="false">IF(AND(30&gt;=$D$11,30&lt;=$D$11+$E$11-1),$F$11/$E$11,0)</f>
        <v>260000000</v>
      </c>
      <c r="AK11" s="28" t="n">
        <f aca="false">IF(AND(31&gt;=$D$11,31&lt;=$D$11+$E$11-1),$F$11/$E$11,0)</f>
        <v>260000000</v>
      </c>
      <c r="AL11" s="28" t="n">
        <f aca="false">IF(AND(32&gt;=$D$11,32&lt;=$D$11+$E$11-1),$F$11/$E$11,0)</f>
        <v>260000000</v>
      </c>
      <c r="AM11" s="28" t="n">
        <f aca="false">IF(AND(33&gt;=$D$11,33&lt;=$D$11+$E$11-1),$F$11/$E$11,0)</f>
        <v>260000000</v>
      </c>
      <c r="AN11" s="28" t="n">
        <f aca="false">IF(AND(34&gt;=$D$11,34&lt;=$D$11+$E$11-1),$F$11/$E$11,0)</f>
        <v>260000000</v>
      </c>
      <c r="AO11" s="28" t="n">
        <f aca="false">IF(AND(35&gt;=$D$11,35&lt;=$D$11+$E$11-1),$F$11/$E$11,0)</f>
        <v>260000000</v>
      </c>
      <c r="AP11" s="28" t="n">
        <f aca="false">IF(AND(36&gt;=$D$11,36&lt;=$D$11+$E$11-1),$F$11/$E$11,0)</f>
        <v>260000000</v>
      </c>
      <c r="AQ11" s="28" t="n">
        <f aca="false">IF(AND(37&gt;=$D$11,37&lt;=$D$11+$E$11-1),$F$11/$E$11,0)</f>
        <v>260000000</v>
      </c>
      <c r="AR11" s="28" t="n">
        <f aca="false">IF(AND(38&gt;=$D$11,38&lt;=$D$11+$E$11-1),$F$11/$E$11,0)</f>
        <v>0</v>
      </c>
      <c r="AS11" s="28" t="n">
        <f aca="false">IF(AND(39&gt;=$D$11,39&lt;=$D$11+$E$11-1),$F$11/$E$11,0)</f>
        <v>0</v>
      </c>
      <c r="AT11" s="28" t="n">
        <f aca="false">IF(AND(40&gt;=$D$11,40&lt;=$D$11+$E$11-1),$F$11/$E$11,0)</f>
        <v>0</v>
      </c>
      <c r="AU11" s="28" t="n">
        <f aca="false">IF(AND(41&gt;=$D$11,41&lt;=$D$11+$E$11-1),$F$11/$E$11,0)</f>
        <v>0</v>
      </c>
      <c r="AV11" s="28" t="n">
        <f aca="false">IF(AND(42&gt;=$D$11,42&lt;=$D$11+$E$11-1),$F$11/$E$11,0)</f>
        <v>0</v>
      </c>
      <c r="AW11" s="28" t="n">
        <f aca="false">IF(AND(43&gt;=$D$11,43&lt;=$D$11+$E$11-1),$F$11/$E$11,0)</f>
        <v>0</v>
      </c>
      <c r="AX11" s="28" t="n">
        <f aca="false">IF(AND(44&gt;=$D$11,44&lt;=$D$11+$E$11-1),$F$11/$E$11,0)</f>
        <v>0</v>
      </c>
      <c r="AY11" s="28" t="n">
        <f aca="false">IF(AND(45&gt;=$D$11,45&lt;=$D$11+$E$11-1),$F$11/$E$11,0)</f>
        <v>0</v>
      </c>
      <c r="AZ11" s="28" t="n">
        <f aca="false">IF(AND(46&gt;=$D$11,46&lt;=$D$11+$E$11-1),$F$11/$E$11,0)</f>
        <v>0</v>
      </c>
      <c r="BA11" s="28" t="n">
        <f aca="false">IF(AND(47&gt;=$D$11,47&lt;=$D$11+$E$11-1),$F$11/$E$11,0)</f>
        <v>0</v>
      </c>
      <c r="BB11" s="28" t="n">
        <f aca="false">IF(AND(48&gt;=$D$11,48&lt;=$D$11+$E$11-1),$F$11/$E$11,0)</f>
        <v>0</v>
      </c>
      <c r="BC11" s="28" t="n">
        <f aca="false">IF(AND(49&gt;=$D$11,49&lt;=$D$11+$E$11-1),$F$11/$E$11,0)</f>
        <v>0</v>
      </c>
      <c r="BD11" s="28" t="n">
        <f aca="false">IF(AND(50&gt;=$D$11,50&lt;=$D$11+$E$11-1),$F$11/$E$11,0)</f>
        <v>0</v>
      </c>
      <c r="BE11" s="28" t="n">
        <f aca="false">IF(AND(51&gt;=$D$11,51&lt;=$D$11+$E$11-1),$F$11/$E$11,0)</f>
        <v>0</v>
      </c>
      <c r="BF11" s="28" t="n">
        <f aca="false">IF(AND(52&gt;=$D$11,52&lt;=$D$11+$E$11-1),$F$11/$E$11,0)</f>
        <v>0</v>
      </c>
      <c r="BG11" s="28" t="n">
        <f aca="false">IF(AND(53&gt;=$D$11,53&lt;=$D$11+$E$11-1),$F$11/$E$11,0)</f>
        <v>0</v>
      </c>
      <c r="BH11" s="28" t="n">
        <f aca="false">IF(AND(54&gt;=$D$11,54&lt;=$D$11+$E$11-1),$F$11/$E$11,0)</f>
        <v>0</v>
      </c>
      <c r="BI11" s="28" t="n">
        <f aca="false">IF(AND(55&gt;=$D$11,55&lt;=$D$11+$E$11-1),$F$11/$E$11,0)</f>
        <v>0</v>
      </c>
      <c r="BJ11" s="28" t="n">
        <f aca="false">IF(AND(56&gt;=$D$11,56&lt;=$D$11+$E$11-1),$F$11/$E$11,0)</f>
        <v>0</v>
      </c>
      <c r="BK11" s="28" t="n">
        <f aca="false">IF(AND(57&gt;=$D$11,57&lt;=$D$11+$E$11-1),$F$11/$E$11,0)</f>
        <v>0</v>
      </c>
      <c r="BL11" s="28" t="n">
        <f aca="false">IF(AND(58&gt;=$D$11,58&lt;=$D$11+$E$11-1),$F$11/$E$11,0)</f>
        <v>0</v>
      </c>
      <c r="BM11" s="28" t="n">
        <f aca="false">IF(AND(59&gt;=$D$11,59&lt;=$D$11+$E$11-1),$F$11/$E$11,0)</f>
        <v>0</v>
      </c>
      <c r="BN11" s="28" t="n">
        <f aca="false">IF(AND(60&gt;=$D$11,60&lt;=$D$11+$E$11-1),$F$11/$E$11,0)</f>
        <v>0</v>
      </c>
    </row>
    <row r="12" customFormat="false" ht="15" hidden="false" customHeight="false" outlineLevel="0" collapsed="false">
      <c r="A12" s="6" t="s">
        <v>332</v>
      </c>
      <c r="B12" s="7" t="s">
        <v>333</v>
      </c>
      <c r="C12" s="7" t="s">
        <v>316</v>
      </c>
      <c r="D12" s="17" t="n">
        <v>22</v>
      </c>
      <c r="E12" s="17" t="n">
        <v>24</v>
      </c>
      <c r="F12" s="29" t="n">
        <v>7800000000</v>
      </c>
      <c r="G12" s="28" t="n">
        <f aca="false">IF(AND(1&gt;=$D$12,1&lt;=$D$12+$E$12-1),$F$12/$E$12,0)</f>
        <v>0</v>
      </c>
      <c r="H12" s="28" t="n">
        <f aca="false">IF(AND(2&gt;=$D$12,2&lt;=$D$12+$E$12-1),$F$12/$E$12,0)</f>
        <v>0</v>
      </c>
      <c r="I12" s="28" t="n">
        <f aca="false">IF(AND(3&gt;=$D$12,3&lt;=$D$12+$E$12-1),$F$12/$E$12,0)</f>
        <v>0</v>
      </c>
      <c r="J12" s="28" t="n">
        <f aca="false">IF(AND(4&gt;=$D$12,4&lt;=$D$12+$E$12-1),$F$12/$E$12,0)</f>
        <v>0</v>
      </c>
      <c r="K12" s="28" t="n">
        <f aca="false">IF(AND(5&gt;=$D$12,5&lt;=$D$12+$E$12-1),$F$12/$E$12,0)</f>
        <v>0</v>
      </c>
      <c r="L12" s="28" t="n">
        <f aca="false">IF(AND(6&gt;=$D$12,6&lt;=$D$12+$E$12-1),$F$12/$E$12,0)</f>
        <v>0</v>
      </c>
      <c r="M12" s="28" t="n">
        <f aca="false">IF(AND(7&gt;=$D$12,7&lt;=$D$12+$E$12-1),$F$12/$E$12,0)</f>
        <v>0</v>
      </c>
      <c r="N12" s="28" t="n">
        <f aca="false">IF(AND(8&gt;=$D$12,8&lt;=$D$12+$E$12-1),$F$12/$E$12,0)</f>
        <v>0</v>
      </c>
      <c r="O12" s="28" t="n">
        <f aca="false">IF(AND(9&gt;=$D$12,9&lt;=$D$12+$E$12-1),$F$12/$E$12,0)</f>
        <v>0</v>
      </c>
      <c r="P12" s="28" t="n">
        <f aca="false">IF(AND(10&gt;=$D$12,10&lt;=$D$12+$E$12-1),$F$12/$E$12,0)</f>
        <v>0</v>
      </c>
      <c r="Q12" s="28" t="n">
        <f aca="false">IF(AND(11&gt;=$D$12,11&lt;=$D$12+$E$12-1),$F$12/$E$12,0)</f>
        <v>0</v>
      </c>
      <c r="R12" s="28" t="n">
        <f aca="false">IF(AND(12&gt;=$D$12,12&lt;=$D$12+$E$12-1),$F$12/$E$12,0)</f>
        <v>0</v>
      </c>
      <c r="S12" s="28" t="n">
        <f aca="false">IF(AND(13&gt;=$D$12,13&lt;=$D$12+$E$12-1),$F$12/$E$12,0)</f>
        <v>0</v>
      </c>
      <c r="T12" s="28" t="n">
        <f aca="false">IF(AND(14&gt;=$D$12,14&lt;=$D$12+$E$12-1),$F$12/$E$12,0)</f>
        <v>0</v>
      </c>
      <c r="U12" s="28" t="n">
        <f aca="false">IF(AND(15&gt;=$D$12,15&lt;=$D$12+$E$12-1),$F$12/$E$12,0)</f>
        <v>0</v>
      </c>
      <c r="V12" s="28" t="n">
        <f aca="false">IF(AND(16&gt;=$D$12,16&lt;=$D$12+$E$12-1),$F$12/$E$12,0)</f>
        <v>0</v>
      </c>
      <c r="W12" s="28" t="n">
        <f aca="false">IF(AND(17&gt;=$D$12,17&lt;=$D$12+$E$12-1),$F$12/$E$12,0)</f>
        <v>0</v>
      </c>
      <c r="X12" s="28" t="n">
        <f aca="false">IF(AND(18&gt;=$D$12,18&lt;=$D$12+$E$12-1),$F$12/$E$12,0)</f>
        <v>0</v>
      </c>
      <c r="Y12" s="28" t="n">
        <f aca="false">IF(AND(19&gt;=$D$12,19&lt;=$D$12+$E$12-1),$F$12/$E$12,0)</f>
        <v>0</v>
      </c>
      <c r="Z12" s="28" t="n">
        <f aca="false">IF(AND(20&gt;=$D$12,20&lt;=$D$12+$E$12-1),$F$12/$E$12,0)</f>
        <v>0</v>
      </c>
      <c r="AA12" s="28" t="n">
        <f aca="false">IF(AND(21&gt;=$D$12,21&lt;=$D$12+$E$12-1),$F$12/$E$12,0)</f>
        <v>0</v>
      </c>
      <c r="AB12" s="28" t="n">
        <f aca="false">IF(AND(22&gt;=$D$12,22&lt;=$D$12+$E$12-1),$F$12/$E$12,0)</f>
        <v>325000000</v>
      </c>
      <c r="AC12" s="28" t="n">
        <f aca="false">IF(AND(23&gt;=$D$12,23&lt;=$D$12+$E$12-1),$F$12/$E$12,0)</f>
        <v>325000000</v>
      </c>
      <c r="AD12" s="28" t="n">
        <f aca="false">IF(AND(24&gt;=$D$12,24&lt;=$D$12+$E$12-1),$F$12/$E$12,0)</f>
        <v>325000000</v>
      </c>
      <c r="AE12" s="28" t="n">
        <f aca="false">IF(AND(25&gt;=$D$12,25&lt;=$D$12+$E$12-1),$F$12/$E$12,0)</f>
        <v>325000000</v>
      </c>
      <c r="AF12" s="28" t="n">
        <f aca="false">IF(AND(26&gt;=$D$12,26&lt;=$D$12+$E$12-1),$F$12/$E$12,0)</f>
        <v>325000000</v>
      </c>
      <c r="AG12" s="28" t="n">
        <f aca="false">IF(AND(27&gt;=$D$12,27&lt;=$D$12+$E$12-1),$F$12/$E$12,0)</f>
        <v>325000000</v>
      </c>
      <c r="AH12" s="28" t="n">
        <f aca="false">IF(AND(28&gt;=$D$12,28&lt;=$D$12+$E$12-1),$F$12/$E$12,0)</f>
        <v>325000000</v>
      </c>
      <c r="AI12" s="28" t="n">
        <f aca="false">IF(AND(29&gt;=$D$12,29&lt;=$D$12+$E$12-1),$F$12/$E$12,0)</f>
        <v>325000000</v>
      </c>
      <c r="AJ12" s="28" t="n">
        <f aca="false">IF(AND(30&gt;=$D$12,30&lt;=$D$12+$E$12-1),$F$12/$E$12,0)</f>
        <v>325000000</v>
      </c>
      <c r="AK12" s="28" t="n">
        <f aca="false">IF(AND(31&gt;=$D$12,31&lt;=$D$12+$E$12-1),$F$12/$E$12,0)</f>
        <v>325000000</v>
      </c>
      <c r="AL12" s="28" t="n">
        <f aca="false">IF(AND(32&gt;=$D$12,32&lt;=$D$12+$E$12-1),$F$12/$E$12,0)</f>
        <v>325000000</v>
      </c>
      <c r="AM12" s="28" t="n">
        <f aca="false">IF(AND(33&gt;=$D$12,33&lt;=$D$12+$E$12-1),$F$12/$E$12,0)</f>
        <v>325000000</v>
      </c>
      <c r="AN12" s="28" t="n">
        <f aca="false">IF(AND(34&gt;=$D$12,34&lt;=$D$12+$E$12-1),$F$12/$E$12,0)</f>
        <v>325000000</v>
      </c>
      <c r="AO12" s="28" t="n">
        <f aca="false">IF(AND(35&gt;=$D$12,35&lt;=$D$12+$E$12-1),$F$12/$E$12,0)</f>
        <v>325000000</v>
      </c>
      <c r="AP12" s="28" t="n">
        <f aca="false">IF(AND(36&gt;=$D$12,36&lt;=$D$12+$E$12-1),$F$12/$E$12,0)</f>
        <v>325000000</v>
      </c>
      <c r="AQ12" s="28" t="n">
        <f aca="false">IF(AND(37&gt;=$D$12,37&lt;=$D$12+$E$12-1),$F$12/$E$12,0)</f>
        <v>325000000</v>
      </c>
      <c r="AR12" s="28" t="n">
        <f aca="false">IF(AND(38&gt;=$D$12,38&lt;=$D$12+$E$12-1),$F$12/$E$12,0)</f>
        <v>325000000</v>
      </c>
      <c r="AS12" s="28" t="n">
        <f aca="false">IF(AND(39&gt;=$D$12,39&lt;=$D$12+$E$12-1),$F$12/$E$12,0)</f>
        <v>325000000</v>
      </c>
      <c r="AT12" s="28" t="n">
        <f aca="false">IF(AND(40&gt;=$D$12,40&lt;=$D$12+$E$12-1),$F$12/$E$12,0)</f>
        <v>325000000</v>
      </c>
      <c r="AU12" s="28" t="n">
        <f aca="false">IF(AND(41&gt;=$D$12,41&lt;=$D$12+$E$12-1),$F$12/$E$12,0)</f>
        <v>325000000</v>
      </c>
      <c r="AV12" s="28" t="n">
        <f aca="false">IF(AND(42&gt;=$D$12,42&lt;=$D$12+$E$12-1),$F$12/$E$12,0)</f>
        <v>325000000</v>
      </c>
      <c r="AW12" s="28" t="n">
        <f aca="false">IF(AND(43&gt;=$D$12,43&lt;=$D$12+$E$12-1),$F$12/$E$12,0)</f>
        <v>325000000</v>
      </c>
      <c r="AX12" s="28" t="n">
        <f aca="false">IF(AND(44&gt;=$D$12,44&lt;=$D$12+$E$12-1),$F$12/$E$12,0)</f>
        <v>325000000</v>
      </c>
      <c r="AY12" s="28" t="n">
        <f aca="false">IF(AND(45&gt;=$D$12,45&lt;=$D$12+$E$12-1),$F$12/$E$12,0)</f>
        <v>325000000</v>
      </c>
      <c r="AZ12" s="28" t="n">
        <f aca="false">IF(AND(46&gt;=$D$12,46&lt;=$D$12+$E$12-1),$F$12/$E$12,0)</f>
        <v>0</v>
      </c>
      <c r="BA12" s="28" t="n">
        <f aca="false">IF(AND(47&gt;=$D$12,47&lt;=$D$12+$E$12-1),$F$12/$E$12,0)</f>
        <v>0</v>
      </c>
      <c r="BB12" s="28" t="n">
        <f aca="false">IF(AND(48&gt;=$D$12,48&lt;=$D$12+$E$12-1),$F$12/$E$12,0)</f>
        <v>0</v>
      </c>
      <c r="BC12" s="28" t="n">
        <f aca="false">IF(AND(49&gt;=$D$12,49&lt;=$D$12+$E$12-1),$F$12/$E$12,0)</f>
        <v>0</v>
      </c>
      <c r="BD12" s="28" t="n">
        <f aca="false">IF(AND(50&gt;=$D$12,50&lt;=$D$12+$E$12-1),$F$12/$E$12,0)</f>
        <v>0</v>
      </c>
      <c r="BE12" s="28" t="n">
        <f aca="false">IF(AND(51&gt;=$D$12,51&lt;=$D$12+$E$12-1),$F$12/$E$12,0)</f>
        <v>0</v>
      </c>
      <c r="BF12" s="28" t="n">
        <f aca="false">IF(AND(52&gt;=$D$12,52&lt;=$D$12+$E$12-1),$F$12/$E$12,0)</f>
        <v>0</v>
      </c>
      <c r="BG12" s="28" t="n">
        <f aca="false">IF(AND(53&gt;=$D$12,53&lt;=$D$12+$E$12-1),$F$12/$E$12,0)</f>
        <v>0</v>
      </c>
      <c r="BH12" s="28" t="n">
        <f aca="false">IF(AND(54&gt;=$D$12,54&lt;=$D$12+$E$12-1),$F$12/$E$12,0)</f>
        <v>0</v>
      </c>
      <c r="BI12" s="28" t="n">
        <f aca="false">IF(AND(55&gt;=$D$12,55&lt;=$D$12+$E$12-1),$F$12/$E$12,0)</f>
        <v>0</v>
      </c>
      <c r="BJ12" s="28" t="n">
        <f aca="false">IF(AND(56&gt;=$D$12,56&lt;=$D$12+$E$12-1),$F$12/$E$12,0)</f>
        <v>0</v>
      </c>
      <c r="BK12" s="28" t="n">
        <f aca="false">IF(AND(57&gt;=$D$12,57&lt;=$D$12+$E$12-1),$F$12/$E$12,0)</f>
        <v>0</v>
      </c>
      <c r="BL12" s="28" t="n">
        <f aca="false">IF(AND(58&gt;=$D$12,58&lt;=$D$12+$E$12-1),$F$12/$E$12,0)</f>
        <v>0</v>
      </c>
      <c r="BM12" s="28" t="n">
        <f aca="false">IF(AND(59&gt;=$D$12,59&lt;=$D$12+$E$12-1),$F$12/$E$12,0)</f>
        <v>0</v>
      </c>
      <c r="BN12" s="28" t="n">
        <f aca="false">IF(AND(60&gt;=$D$12,60&lt;=$D$12+$E$12-1),$F$12/$E$12,0)</f>
        <v>0</v>
      </c>
    </row>
    <row r="13" customFormat="false" ht="15" hidden="false" customHeight="false" outlineLevel="0" collapsed="false">
      <c r="A13" s="6" t="s">
        <v>334</v>
      </c>
      <c r="B13" s="7" t="s">
        <v>335</v>
      </c>
      <c r="C13" s="7" t="s">
        <v>336</v>
      </c>
      <c r="D13" s="17" t="n">
        <v>28</v>
      </c>
      <c r="E13" s="17" t="n">
        <v>20</v>
      </c>
      <c r="F13" s="29" t="n">
        <v>5500000000</v>
      </c>
      <c r="G13" s="28" t="n">
        <f aca="false">IF(AND(1&gt;=$D$13,1&lt;=$D$13+$E$13-1),$F$13/$E$13,0)</f>
        <v>0</v>
      </c>
      <c r="H13" s="28" t="n">
        <f aca="false">IF(AND(2&gt;=$D$13,2&lt;=$D$13+$E$13-1),$F$13/$E$13,0)</f>
        <v>0</v>
      </c>
      <c r="I13" s="28" t="n">
        <f aca="false">IF(AND(3&gt;=$D$13,3&lt;=$D$13+$E$13-1),$F$13/$E$13,0)</f>
        <v>0</v>
      </c>
      <c r="J13" s="28" t="n">
        <f aca="false">IF(AND(4&gt;=$D$13,4&lt;=$D$13+$E$13-1),$F$13/$E$13,0)</f>
        <v>0</v>
      </c>
      <c r="K13" s="28" t="n">
        <f aca="false">IF(AND(5&gt;=$D$13,5&lt;=$D$13+$E$13-1),$F$13/$E$13,0)</f>
        <v>0</v>
      </c>
      <c r="L13" s="28" t="n">
        <f aca="false">IF(AND(6&gt;=$D$13,6&lt;=$D$13+$E$13-1),$F$13/$E$13,0)</f>
        <v>0</v>
      </c>
      <c r="M13" s="28" t="n">
        <f aca="false">IF(AND(7&gt;=$D$13,7&lt;=$D$13+$E$13-1),$F$13/$E$13,0)</f>
        <v>0</v>
      </c>
      <c r="N13" s="28" t="n">
        <f aca="false">IF(AND(8&gt;=$D$13,8&lt;=$D$13+$E$13-1),$F$13/$E$13,0)</f>
        <v>0</v>
      </c>
      <c r="O13" s="28" t="n">
        <f aca="false">IF(AND(9&gt;=$D$13,9&lt;=$D$13+$E$13-1),$F$13/$E$13,0)</f>
        <v>0</v>
      </c>
      <c r="P13" s="28" t="n">
        <f aca="false">IF(AND(10&gt;=$D$13,10&lt;=$D$13+$E$13-1),$F$13/$E$13,0)</f>
        <v>0</v>
      </c>
      <c r="Q13" s="28" t="n">
        <f aca="false">IF(AND(11&gt;=$D$13,11&lt;=$D$13+$E$13-1),$F$13/$E$13,0)</f>
        <v>0</v>
      </c>
      <c r="R13" s="28" t="n">
        <f aca="false">IF(AND(12&gt;=$D$13,12&lt;=$D$13+$E$13-1),$F$13/$E$13,0)</f>
        <v>0</v>
      </c>
      <c r="S13" s="28" t="n">
        <f aca="false">IF(AND(13&gt;=$D$13,13&lt;=$D$13+$E$13-1),$F$13/$E$13,0)</f>
        <v>0</v>
      </c>
      <c r="T13" s="28" t="n">
        <f aca="false">IF(AND(14&gt;=$D$13,14&lt;=$D$13+$E$13-1),$F$13/$E$13,0)</f>
        <v>0</v>
      </c>
      <c r="U13" s="28" t="n">
        <f aca="false">IF(AND(15&gt;=$D$13,15&lt;=$D$13+$E$13-1),$F$13/$E$13,0)</f>
        <v>0</v>
      </c>
      <c r="V13" s="28" t="n">
        <f aca="false">IF(AND(16&gt;=$D$13,16&lt;=$D$13+$E$13-1),$F$13/$E$13,0)</f>
        <v>0</v>
      </c>
      <c r="W13" s="28" t="n">
        <f aca="false">IF(AND(17&gt;=$D$13,17&lt;=$D$13+$E$13-1),$F$13/$E$13,0)</f>
        <v>0</v>
      </c>
      <c r="X13" s="28" t="n">
        <f aca="false">IF(AND(18&gt;=$D$13,18&lt;=$D$13+$E$13-1),$F$13/$E$13,0)</f>
        <v>0</v>
      </c>
      <c r="Y13" s="28" t="n">
        <f aca="false">IF(AND(19&gt;=$D$13,19&lt;=$D$13+$E$13-1),$F$13/$E$13,0)</f>
        <v>0</v>
      </c>
      <c r="Z13" s="28" t="n">
        <f aca="false">IF(AND(20&gt;=$D$13,20&lt;=$D$13+$E$13-1),$F$13/$E$13,0)</f>
        <v>0</v>
      </c>
      <c r="AA13" s="28" t="n">
        <f aca="false">IF(AND(21&gt;=$D$13,21&lt;=$D$13+$E$13-1),$F$13/$E$13,0)</f>
        <v>0</v>
      </c>
      <c r="AB13" s="28" t="n">
        <f aca="false">IF(AND(22&gt;=$D$13,22&lt;=$D$13+$E$13-1),$F$13/$E$13,0)</f>
        <v>0</v>
      </c>
      <c r="AC13" s="28" t="n">
        <f aca="false">IF(AND(23&gt;=$D$13,23&lt;=$D$13+$E$13-1),$F$13/$E$13,0)</f>
        <v>0</v>
      </c>
      <c r="AD13" s="28" t="n">
        <f aca="false">IF(AND(24&gt;=$D$13,24&lt;=$D$13+$E$13-1),$F$13/$E$13,0)</f>
        <v>0</v>
      </c>
      <c r="AE13" s="28" t="n">
        <f aca="false">IF(AND(25&gt;=$D$13,25&lt;=$D$13+$E$13-1),$F$13/$E$13,0)</f>
        <v>0</v>
      </c>
      <c r="AF13" s="28" t="n">
        <f aca="false">IF(AND(26&gt;=$D$13,26&lt;=$D$13+$E$13-1),$F$13/$E$13,0)</f>
        <v>0</v>
      </c>
      <c r="AG13" s="28" t="n">
        <f aca="false">IF(AND(27&gt;=$D$13,27&lt;=$D$13+$E$13-1),$F$13/$E$13,0)</f>
        <v>0</v>
      </c>
      <c r="AH13" s="28" t="n">
        <f aca="false">IF(AND(28&gt;=$D$13,28&lt;=$D$13+$E$13-1),$F$13/$E$13,0)</f>
        <v>275000000</v>
      </c>
      <c r="AI13" s="28" t="n">
        <f aca="false">IF(AND(29&gt;=$D$13,29&lt;=$D$13+$E$13-1),$F$13/$E$13,0)</f>
        <v>275000000</v>
      </c>
      <c r="AJ13" s="28" t="n">
        <f aca="false">IF(AND(30&gt;=$D$13,30&lt;=$D$13+$E$13-1),$F$13/$E$13,0)</f>
        <v>275000000</v>
      </c>
      <c r="AK13" s="28" t="n">
        <f aca="false">IF(AND(31&gt;=$D$13,31&lt;=$D$13+$E$13-1),$F$13/$E$13,0)</f>
        <v>275000000</v>
      </c>
      <c r="AL13" s="28" t="n">
        <f aca="false">IF(AND(32&gt;=$D$13,32&lt;=$D$13+$E$13-1),$F$13/$E$13,0)</f>
        <v>275000000</v>
      </c>
      <c r="AM13" s="28" t="n">
        <f aca="false">IF(AND(33&gt;=$D$13,33&lt;=$D$13+$E$13-1),$F$13/$E$13,0)</f>
        <v>275000000</v>
      </c>
      <c r="AN13" s="28" t="n">
        <f aca="false">IF(AND(34&gt;=$D$13,34&lt;=$D$13+$E$13-1),$F$13/$E$13,0)</f>
        <v>275000000</v>
      </c>
      <c r="AO13" s="28" t="n">
        <f aca="false">IF(AND(35&gt;=$D$13,35&lt;=$D$13+$E$13-1),$F$13/$E$13,0)</f>
        <v>275000000</v>
      </c>
      <c r="AP13" s="28" t="n">
        <f aca="false">IF(AND(36&gt;=$D$13,36&lt;=$D$13+$E$13-1),$F$13/$E$13,0)</f>
        <v>275000000</v>
      </c>
      <c r="AQ13" s="28" t="n">
        <f aca="false">IF(AND(37&gt;=$D$13,37&lt;=$D$13+$E$13-1),$F$13/$E$13,0)</f>
        <v>275000000</v>
      </c>
      <c r="AR13" s="28" t="n">
        <f aca="false">IF(AND(38&gt;=$D$13,38&lt;=$D$13+$E$13-1),$F$13/$E$13,0)</f>
        <v>275000000</v>
      </c>
      <c r="AS13" s="28" t="n">
        <f aca="false">IF(AND(39&gt;=$D$13,39&lt;=$D$13+$E$13-1),$F$13/$E$13,0)</f>
        <v>275000000</v>
      </c>
      <c r="AT13" s="28" t="n">
        <f aca="false">IF(AND(40&gt;=$D$13,40&lt;=$D$13+$E$13-1),$F$13/$E$13,0)</f>
        <v>275000000</v>
      </c>
      <c r="AU13" s="28" t="n">
        <f aca="false">IF(AND(41&gt;=$D$13,41&lt;=$D$13+$E$13-1),$F$13/$E$13,0)</f>
        <v>275000000</v>
      </c>
      <c r="AV13" s="28" t="n">
        <f aca="false">IF(AND(42&gt;=$D$13,42&lt;=$D$13+$E$13-1),$F$13/$E$13,0)</f>
        <v>275000000</v>
      </c>
      <c r="AW13" s="28" t="n">
        <f aca="false">IF(AND(43&gt;=$D$13,43&lt;=$D$13+$E$13-1),$F$13/$E$13,0)</f>
        <v>275000000</v>
      </c>
      <c r="AX13" s="28" t="n">
        <f aca="false">IF(AND(44&gt;=$D$13,44&lt;=$D$13+$E$13-1),$F$13/$E$13,0)</f>
        <v>275000000</v>
      </c>
      <c r="AY13" s="28" t="n">
        <f aca="false">IF(AND(45&gt;=$D$13,45&lt;=$D$13+$E$13-1),$F$13/$E$13,0)</f>
        <v>275000000</v>
      </c>
      <c r="AZ13" s="28" t="n">
        <f aca="false">IF(AND(46&gt;=$D$13,46&lt;=$D$13+$E$13-1),$F$13/$E$13,0)</f>
        <v>275000000</v>
      </c>
      <c r="BA13" s="28" t="n">
        <f aca="false">IF(AND(47&gt;=$D$13,47&lt;=$D$13+$E$13-1),$F$13/$E$13,0)</f>
        <v>275000000</v>
      </c>
      <c r="BB13" s="28" t="n">
        <f aca="false">IF(AND(48&gt;=$D$13,48&lt;=$D$13+$E$13-1),$F$13/$E$13,0)</f>
        <v>0</v>
      </c>
      <c r="BC13" s="28" t="n">
        <f aca="false">IF(AND(49&gt;=$D$13,49&lt;=$D$13+$E$13-1),$F$13/$E$13,0)</f>
        <v>0</v>
      </c>
      <c r="BD13" s="28" t="n">
        <f aca="false">IF(AND(50&gt;=$D$13,50&lt;=$D$13+$E$13-1),$F$13/$E$13,0)</f>
        <v>0</v>
      </c>
      <c r="BE13" s="28" t="n">
        <f aca="false">IF(AND(51&gt;=$D$13,51&lt;=$D$13+$E$13-1),$F$13/$E$13,0)</f>
        <v>0</v>
      </c>
      <c r="BF13" s="28" t="n">
        <f aca="false">IF(AND(52&gt;=$D$13,52&lt;=$D$13+$E$13-1),$F$13/$E$13,0)</f>
        <v>0</v>
      </c>
      <c r="BG13" s="28" t="n">
        <f aca="false">IF(AND(53&gt;=$D$13,53&lt;=$D$13+$E$13-1),$F$13/$E$13,0)</f>
        <v>0</v>
      </c>
      <c r="BH13" s="28" t="n">
        <f aca="false">IF(AND(54&gt;=$D$13,54&lt;=$D$13+$E$13-1),$F$13/$E$13,0)</f>
        <v>0</v>
      </c>
      <c r="BI13" s="28" t="n">
        <f aca="false">IF(AND(55&gt;=$D$13,55&lt;=$D$13+$E$13-1),$F$13/$E$13,0)</f>
        <v>0</v>
      </c>
      <c r="BJ13" s="28" t="n">
        <f aca="false">IF(AND(56&gt;=$D$13,56&lt;=$D$13+$E$13-1),$F$13/$E$13,0)</f>
        <v>0</v>
      </c>
      <c r="BK13" s="28" t="n">
        <f aca="false">IF(AND(57&gt;=$D$13,57&lt;=$D$13+$E$13-1),$F$13/$E$13,0)</f>
        <v>0</v>
      </c>
      <c r="BL13" s="28" t="n">
        <f aca="false">IF(AND(58&gt;=$D$13,58&lt;=$D$13+$E$13-1),$F$13/$E$13,0)</f>
        <v>0</v>
      </c>
      <c r="BM13" s="28" t="n">
        <f aca="false">IF(AND(59&gt;=$D$13,59&lt;=$D$13+$E$13-1),$F$13/$E$13,0)</f>
        <v>0</v>
      </c>
      <c r="BN13" s="28" t="n">
        <f aca="false">IF(AND(60&gt;=$D$13,60&lt;=$D$13+$E$13-1),$F$13/$E$13,0)</f>
        <v>0</v>
      </c>
    </row>
    <row r="14" customFormat="false" ht="15" hidden="false" customHeight="false" outlineLevel="0" collapsed="false">
      <c r="A14" s="6" t="s">
        <v>337</v>
      </c>
      <c r="B14" s="7" t="s">
        <v>338</v>
      </c>
      <c r="C14" s="7" t="s">
        <v>322</v>
      </c>
      <c r="D14" s="17" t="n">
        <v>32</v>
      </c>
      <c r="E14" s="17" t="n">
        <v>26</v>
      </c>
      <c r="F14" s="29" t="n">
        <v>8500000000</v>
      </c>
      <c r="G14" s="28" t="n">
        <f aca="false">IF(AND(1&gt;=$D$14,1&lt;=$D$14+$E$14-1),$F$14/$E$14,0)</f>
        <v>0</v>
      </c>
      <c r="H14" s="28" t="n">
        <f aca="false">IF(AND(2&gt;=$D$14,2&lt;=$D$14+$E$14-1),$F$14/$E$14,0)</f>
        <v>0</v>
      </c>
      <c r="I14" s="28" t="n">
        <f aca="false">IF(AND(3&gt;=$D$14,3&lt;=$D$14+$E$14-1),$F$14/$E$14,0)</f>
        <v>0</v>
      </c>
      <c r="J14" s="28" t="n">
        <f aca="false">IF(AND(4&gt;=$D$14,4&lt;=$D$14+$E$14-1),$F$14/$E$14,0)</f>
        <v>0</v>
      </c>
      <c r="K14" s="28" t="n">
        <f aca="false">IF(AND(5&gt;=$D$14,5&lt;=$D$14+$E$14-1),$F$14/$E$14,0)</f>
        <v>0</v>
      </c>
      <c r="L14" s="28" t="n">
        <f aca="false">IF(AND(6&gt;=$D$14,6&lt;=$D$14+$E$14-1),$F$14/$E$14,0)</f>
        <v>0</v>
      </c>
      <c r="M14" s="28" t="n">
        <f aca="false">IF(AND(7&gt;=$D$14,7&lt;=$D$14+$E$14-1),$F$14/$E$14,0)</f>
        <v>0</v>
      </c>
      <c r="N14" s="28" t="n">
        <f aca="false">IF(AND(8&gt;=$D$14,8&lt;=$D$14+$E$14-1),$F$14/$E$14,0)</f>
        <v>0</v>
      </c>
      <c r="O14" s="28" t="n">
        <f aca="false">IF(AND(9&gt;=$D$14,9&lt;=$D$14+$E$14-1),$F$14/$E$14,0)</f>
        <v>0</v>
      </c>
      <c r="P14" s="28" t="n">
        <f aca="false">IF(AND(10&gt;=$D$14,10&lt;=$D$14+$E$14-1),$F$14/$E$14,0)</f>
        <v>0</v>
      </c>
      <c r="Q14" s="28" t="n">
        <f aca="false">IF(AND(11&gt;=$D$14,11&lt;=$D$14+$E$14-1),$F$14/$E$14,0)</f>
        <v>0</v>
      </c>
      <c r="R14" s="28" t="n">
        <f aca="false">IF(AND(12&gt;=$D$14,12&lt;=$D$14+$E$14-1),$F$14/$E$14,0)</f>
        <v>0</v>
      </c>
      <c r="S14" s="28" t="n">
        <f aca="false">IF(AND(13&gt;=$D$14,13&lt;=$D$14+$E$14-1),$F$14/$E$14,0)</f>
        <v>0</v>
      </c>
      <c r="T14" s="28" t="n">
        <f aca="false">IF(AND(14&gt;=$D$14,14&lt;=$D$14+$E$14-1),$F$14/$E$14,0)</f>
        <v>0</v>
      </c>
      <c r="U14" s="28" t="n">
        <f aca="false">IF(AND(15&gt;=$D$14,15&lt;=$D$14+$E$14-1),$F$14/$E$14,0)</f>
        <v>0</v>
      </c>
      <c r="V14" s="28" t="n">
        <f aca="false">IF(AND(16&gt;=$D$14,16&lt;=$D$14+$E$14-1),$F$14/$E$14,0)</f>
        <v>0</v>
      </c>
      <c r="W14" s="28" t="n">
        <f aca="false">IF(AND(17&gt;=$D$14,17&lt;=$D$14+$E$14-1),$F$14/$E$14,0)</f>
        <v>0</v>
      </c>
      <c r="X14" s="28" t="n">
        <f aca="false">IF(AND(18&gt;=$D$14,18&lt;=$D$14+$E$14-1),$F$14/$E$14,0)</f>
        <v>0</v>
      </c>
      <c r="Y14" s="28" t="n">
        <f aca="false">IF(AND(19&gt;=$D$14,19&lt;=$D$14+$E$14-1),$F$14/$E$14,0)</f>
        <v>0</v>
      </c>
      <c r="Z14" s="28" t="n">
        <f aca="false">IF(AND(20&gt;=$D$14,20&lt;=$D$14+$E$14-1),$F$14/$E$14,0)</f>
        <v>0</v>
      </c>
      <c r="AA14" s="28" t="n">
        <f aca="false">IF(AND(21&gt;=$D$14,21&lt;=$D$14+$E$14-1),$F$14/$E$14,0)</f>
        <v>0</v>
      </c>
      <c r="AB14" s="28" t="n">
        <f aca="false">IF(AND(22&gt;=$D$14,22&lt;=$D$14+$E$14-1),$F$14/$E$14,0)</f>
        <v>0</v>
      </c>
      <c r="AC14" s="28" t="n">
        <f aca="false">IF(AND(23&gt;=$D$14,23&lt;=$D$14+$E$14-1),$F$14/$E$14,0)</f>
        <v>0</v>
      </c>
      <c r="AD14" s="28" t="n">
        <f aca="false">IF(AND(24&gt;=$D$14,24&lt;=$D$14+$E$14-1),$F$14/$E$14,0)</f>
        <v>0</v>
      </c>
      <c r="AE14" s="28" t="n">
        <f aca="false">IF(AND(25&gt;=$D$14,25&lt;=$D$14+$E$14-1),$F$14/$E$14,0)</f>
        <v>0</v>
      </c>
      <c r="AF14" s="28" t="n">
        <f aca="false">IF(AND(26&gt;=$D$14,26&lt;=$D$14+$E$14-1),$F$14/$E$14,0)</f>
        <v>0</v>
      </c>
      <c r="AG14" s="28" t="n">
        <f aca="false">IF(AND(27&gt;=$D$14,27&lt;=$D$14+$E$14-1),$F$14/$E$14,0)</f>
        <v>0</v>
      </c>
      <c r="AH14" s="28" t="n">
        <f aca="false">IF(AND(28&gt;=$D$14,28&lt;=$D$14+$E$14-1),$F$14/$E$14,0)</f>
        <v>0</v>
      </c>
      <c r="AI14" s="28" t="n">
        <f aca="false">IF(AND(29&gt;=$D$14,29&lt;=$D$14+$E$14-1),$F$14/$E$14,0)</f>
        <v>0</v>
      </c>
      <c r="AJ14" s="28" t="n">
        <f aca="false">IF(AND(30&gt;=$D$14,30&lt;=$D$14+$E$14-1),$F$14/$E$14,0)</f>
        <v>0</v>
      </c>
      <c r="AK14" s="28" t="n">
        <f aca="false">IF(AND(31&gt;=$D$14,31&lt;=$D$14+$E$14-1),$F$14/$E$14,0)</f>
        <v>0</v>
      </c>
      <c r="AL14" s="28" t="n">
        <f aca="false">IF(AND(32&gt;=$D$14,32&lt;=$D$14+$E$14-1),$F$14/$E$14,0)</f>
        <v>326923076.923077</v>
      </c>
      <c r="AM14" s="28" t="n">
        <f aca="false">IF(AND(33&gt;=$D$14,33&lt;=$D$14+$E$14-1),$F$14/$E$14,0)</f>
        <v>326923076.923077</v>
      </c>
      <c r="AN14" s="28" t="n">
        <f aca="false">IF(AND(34&gt;=$D$14,34&lt;=$D$14+$E$14-1),$F$14/$E$14,0)</f>
        <v>326923076.923077</v>
      </c>
      <c r="AO14" s="28" t="n">
        <f aca="false">IF(AND(35&gt;=$D$14,35&lt;=$D$14+$E$14-1),$F$14/$E$14,0)</f>
        <v>326923076.923077</v>
      </c>
      <c r="AP14" s="28" t="n">
        <f aca="false">IF(AND(36&gt;=$D$14,36&lt;=$D$14+$E$14-1),$F$14/$E$14,0)</f>
        <v>326923076.923077</v>
      </c>
      <c r="AQ14" s="28" t="n">
        <f aca="false">IF(AND(37&gt;=$D$14,37&lt;=$D$14+$E$14-1),$F$14/$E$14,0)</f>
        <v>326923076.923077</v>
      </c>
      <c r="AR14" s="28" t="n">
        <f aca="false">IF(AND(38&gt;=$D$14,38&lt;=$D$14+$E$14-1),$F$14/$E$14,0)</f>
        <v>326923076.923077</v>
      </c>
      <c r="AS14" s="28" t="n">
        <f aca="false">IF(AND(39&gt;=$D$14,39&lt;=$D$14+$E$14-1),$F$14/$E$14,0)</f>
        <v>326923076.923077</v>
      </c>
      <c r="AT14" s="28" t="n">
        <f aca="false">IF(AND(40&gt;=$D$14,40&lt;=$D$14+$E$14-1),$F$14/$E$14,0)</f>
        <v>326923076.923077</v>
      </c>
      <c r="AU14" s="28" t="n">
        <f aca="false">IF(AND(41&gt;=$D$14,41&lt;=$D$14+$E$14-1),$F$14/$E$14,0)</f>
        <v>326923076.923077</v>
      </c>
      <c r="AV14" s="28" t="n">
        <f aca="false">IF(AND(42&gt;=$D$14,42&lt;=$D$14+$E$14-1),$F$14/$E$14,0)</f>
        <v>326923076.923077</v>
      </c>
      <c r="AW14" s="28" t="n">
        <f aca="false">IF(AND(43&gt;=$D$14,43&lt;=$D$14+$E$14-1),$F$14/$E$14,0)</f>
        <v>326923076.923077</v>
      </c>
      <c r="AX14" s="28" t="n">
        <f aca="false">IF(AND(44&gt;=$D$14,44&lt;=$D$14+$E$14-1),$F$14/$E$14,0)</f>
        <v>326923076.923077</v>
      </c>
      <c r="AY14" s="28" t="n">
        <f aca="false">IF(AND(45&gt;=$D$14,45&lt;=$D$14+$E$14-1),$F$14/$E$14,0)</f>
        <v>326923076.923077</v>
      </c>
      <c r="AZ14" s="28" t="n">
        <f aca="false">IF(AND(46&gt;=$D$14,46&lt;=$D$14+$E$14-1),$F$14/$E$14,0)</f>
        <v>326923076.923077</v>
      </c>
      <c r="BA14" s="28" t="n">
        <f aca="false">IF(AND(47&gt;=$D$14,47&lt;=$D$14+$E$14-1),$F$14/$E$14,0)</f>
        <v>326923076.923077</v>
      </c>
      <c r="BB14" s="28" t="n">
        <f aca="false">IF(AND(48&gt;=$D$14,48&lt;=$D$14+$E$14-1),$F$14/$E$14,0)</f>
        <v>326923076.923077</v>
      </c>
      <c r="BC14" s="28" t="n">
        <f aca="false">IF(AND(49&gt;=$D$14,49&lt;=$D$14+$E$14-1),$F$14/$E$14,0)</f>
        <v>326923076.923077</v>
      </c>
      <c r="BD14" s="28" t="n">
        <f aca="false">IF(AND(50&gt;=$D$14,50&lt;=$D$14+$E$14-1),$F$14/$E$14,0)</f>
        <v>326923076.923077</v>
      </c>
      <c r="BE14" s="28" t="n">
        <f aca="false">IF(AND(51&gt;=$D$14,51&lt;=$D$14+$E$14-1),$F$14/$E$14,0)</f>
        <v>326923076.923077</v>
      </c>
      <c r="BF14" s="28" t="n">
        <f aca="false">IF(AND(52&gt;=$D$14,52&lt;=$D$14+$E$14-1),$F$14/$E$14,0)</f>
        <v>326923076.923077</v>
      </c>
      <c r="BG14" s="28" t="n">
        <f aca="false">IF(AND(53&gt;=$D$14,53&lt;=$D$14+$E$14-1),$F$14/$E$14,0)</f>
        <v>326923076.923077</v>
      </c>
      <c r="BH14" s="28" t="n">
        <f aca="false">IF(AND(54&gt;=$D$14,54&lt;=$D$14+$E$14-1),$F$14/$E$14,0)</f>
        <v>326923076.923077</v>
      </c>
      <c r="BI14" s="28" t="n">
        <f aca="false">IF(AND(55&gt;=$D$14,55&lt;=$D$14+$E$14-1),$F$14/$E$14,0)</f>
        <v>326923076.923077</v>
      </c>
      <c r="BJ14" s="28" t="n">
        <f aca="false">IF(AND(56&gt;=$D$14,56&lt;=$D$14+$E$14-1),$F$14/$E$14,0)</f>
        <v>326923076.923077</v>
      </c>
      <c r="BK14" s="28" t="n">
        <f aca="false">IF(AND(57&gt;=$D$14,57&lt;=$D$14+$E$14-1),$F$14/$E$14,0)</f>
        <v>326923076.923077</v>
      </c>
      <c r="BL14" s="28" t="n">
        <f aca="false">IF(AND(58&gt;=$D$14,58&lt;=$D$14+$E$14-1),$F$14/$E$14,0)</f>
        <v>0</v>
      </c>
      <c r="BM14" s="28" t="n">
        <f aca="false">IF(AND(59&gt;=$D$14,59&lt;=$D$14+$E$14-1),$F$14/$E$14,0)</f>
        <v>0</v>
      </c>
      <c r="BN14" s="28" t="n">
        <f aca="false">IF(AND(60&gt;=$D$14,60&lt;=$D$14+$E$14-1),$F$14/$E$14,0)</f>
        <v>0</v>
      </c>
    </row>
    <row r="15" customFormat="false" ht="15" hidden="false" customHeight="false" outlineLevel="0" collapsed="false">
      <c r="A15" s="6" t="s">
        <v>339</v>
      </c>
      <c r="B15" s="7" t="s">
        <v>340</v>
      </c>
      <c r="C15" s="7" t="s">
        <v>319</v>
      </c>
      <c r="D15" s="17" t="n">
        <v>40</v>
      </c>
      <c r="E15" s="17" t="n">
        <v>22</v>
      </c>
      <c r="F15" s="29" t="n">
        <v>6800000000</v>
      </c>
      <c r="G15" s="28" t="n">
        <f aca="false">IF(AND(1&gt;=$D$15,1&lt;=$D$15+$E$15-1),$F$15/$E$15,0)</f>
        <v>0</v>
      </c>
      <c r="H15" s="28" t="n">
        <f aca="false">IF(AND(2&gt;=$D$15,2&lt;=$D$15+$E$15-1),$F$15/$E$15,0)</f>
        <v>0</v>
      </c>
      <c r="I15" s="28" t="n">
        <f aca="false">IF(AND(3&gt;=$D$15,3&lt;=$D$15+$E$15-1),$F$15/$E$15,0)</f>
        <v>0</v>
      </c>
      <c r="J15" s="28" t="n">
        <f aca="false">IF(AND(4&gt;=$D$15,4&lt;=$D$15+$E$15-1),$F$15/$E$15,0)</f>
        <v>0</v>
      </c>
      <c r="K15" s="28" t="n">
        <f aca="false">IF(AND(5&gt;=$D$15,5&lt;=$D$15+$E$15-1),$F$15/$E$15,0)</f>
        <v>0</v>
      </c>
      <c r="L15" s="28" t="n">
        <f aca="false">IF(AND(6&gt;=$D$15,6&lt;=$D$15+$E$15-1),$F$15/$E$15,0)</f>
        <v>0</v>
      </c>
      <c r="M15" s="28" t="n">
        <f aca="false">IF(AND(7&gt;=$D$15,7&lt;=$D$15+$E$15-1),$F$15/$E$15,0)</f>
        <v>0</v>
      </c>
      <c r="N15" s="28" t="n">
        <f aca="false">IF(AND(8&gt;=$D$15,8&lt;=$D$15+$E$15-1),$F$15/$E$15,0)</f>
        <v>0</v>
      </c>
      <c r="O15" s="28" t="n">
        <f aca="false">IF(AND(9&gt;=$D$15,9&lt;=$D$15+$E$15-1),$F$15/$E$15,0)</f>
        <v>0</v>
      </c>
      <c r="P15" s="28" t="n">
        <f aca="false">IF(AND(10&gt;=$D$15,10&lt;=$D$15+$E$15-1),$F$15/$E$15,0)</f>
        <v>0</v>
      </c>
      <c r="Q15" s="28" t="n">
        <f aca="false">IF(AND(11&gt;=$D$15,11&lt;=$D$15+$E$15-1),$F$15/$E$15,0)</f>
        <v>0</v>
      </c>
      <c r="R15" s="28" t="n">
        <f aca="false">IF(AND(12&gt;=$D$15,12&lt;=$D$15+$E$15-1),$F$15/$E$15,0)</f>
        <v>0</v>
      </c>
      <c r="S15" s="28" t="n">
        <f aca="false">IF(AND(13&gt;=$D$15,13&lt;=$D$15+$E$15-1),$F$15/$E$15,0)</f>
        <v>0</v>
      </c>
      <c r="T15" s="28" t="n">
        <f aca="false">IF(AND(14&gt;=$D$15,14&lt;=$D$15+$E$15-1),$F$15/$E$15,0)</f>
        <v>0</v>
      </c>
      <c r="U15" s="28" t="n">
        <f aca="false">IF(AND(15&gt;=$D$15,15&lt;=$D$15+$E$15-1),$F$15/$E$15,0)</f>
        <v>0</v>
      </c>
      <c r="V15" s="28" t="n">
        <f aca="false">IF(AND(16&gt;=$D$15,16&lt;=$D$15+$E$15-1),$F$15/$E$15,0)</f>
        <v>0</v>
      </c>
      <c r="W15" s="28" t="n">
        <f aca="false">IF(AND(17&gt;=$D$15,17&lt;=$D$15+$E$15-1),$F$15/$E$15,0)</f>
        <v>0</v>
      </c>
      <c r="X15" s="28" t="n">
        <f aca="false">IF(AND(18&gt;=$D$15,18&lt;=$D$15+$E$15-1),$F$15/$E$15,0)</f>
        <v>0</v>
      </c>
      <c r="Y15" s="28" t="n">
        <f aca="false">IF(AND(19&gt;=$D$15,19&lt;=$D$15+$E$15-1),$F$15/$E$15,0)</f>
        <v>0</v>
      </c>
      <c r="Z15" s="28" t="n">
        <f aca="false">IF(AND(20&gt;=$D$15,20&lt;=$D$15+$E$15-1),$F$15/$E$15,0)</f>
        <v>0</v>
      </c>
      <c r="AA15" s="28" t="n">
        <f aca="false">IF(AND(21&gt;=$D$15,21&lt;=$D$15+$E$15-1),$F$15/$E$15,0)</f>
        <v>0</v>
      </c>
      <c r="AB15" s="28" t="n">
        <f aca="false">IF(AND(22&gt;=$D$15,22&lt;=$D$15+$E$15-1),$F$15/$E$15,0)</f>
        <v>0</v>
      </c>
      <c r="AC15" s="28" t="n">
        <f aca="false">IF(AND(23&gt;=$D$15,23&lt;=$D$15+$E$15-1),$F$15/$E$15,0)</f>
        <v>0</v>
      </c>
      <c r="AD15" s="28" t="n">
        <f aca="false">IF(AND(24&gt;=$D$15,24&lt;=$D$15+$E$15-1),$F$15/$E$15,0)</f>
        <v>0</v>
      </c>
      <c r="AE15" s="28" t="n">
        <f aca="false">IF(AND(25&gt;=$D$15,25&lt;=$D$15+$E$15-1),$F$15/$E$15,0)</f>
        <v>0</v>
      </c>
      <c r="AF15" s="28" t="n">
        <f aca="false">IF(AND(26&gt;=$D$15,26&lt;=$D$15+$E$15-1),$F$15/$E$15,0)</f>
        <v>0</v>
      </c>
      <c r="AG15" s="28" t="n">
        <f aca="false">IF(AND(27&gt;=$D$15,27&lt;=$D$15+$E$15-1),$F$15/$E$15,0)</f>
        <v>0</v>
      </c>
      <c r="AH15" s="28" t="n">
        <f aca="false">IF(AND(28&gt;=$D$15,28&lt;=$D$15+$E$15-1),$F$15/$E$15,0)</f>
        <v>0</v>
      </c>
      <c r="AI15" s="28" t="n">
        <f aca="false">IF(AND(29&gt;=$D$15,29&lt;=$D$15+$E$15-1),$F$15/$E$15,0)</f>
        <v>0</v>
      </c>
      <c r="AJ15" s="28" t="n">
        <f aca="false">IF(AND(30&gt;=$D$15,30&lt;=$D$15+$E$15-1),$F$15/$E$15,0)</f>
        <v>0</v>
      </c>
      <c r="AK15" s="28" t="n">
        <f aca="false">IF(AND(31&gt;=$D$15,31&lt;=$D$15+$E$15-1),$F$15/$E$15,0)</f>
        <v>0</v>
      </c>
      <c r="AL15" s="28" t="n">
        <f aca="false">IF(AND(32&gt;=$D$15,32&lt;=$D$15+$E$15-1),$F$15/$E$15,0)</f>
        <v>0</v>
      </c>
      <c r="AM15" s="28" t="n">
        <f aca="false">IF(AND(33&gt;=$D$15,33&lt;=$D$15+$E$15-1),$F$15/$E$15,0)</f>
        <v>0</v>
      </c>
      <c r="AN15" s="28" t="n">
        <f aca="false">IF(AND(34&gt;=$D$15,34&lt;=$D$15+$E$15-1),$F$15/$E$15,0)</f>
        <v>0</v>
      </c>
      <c r="AO15" s="28" t="n">
        <f aca="false">IF(AND(35&gt;=$D$15,35&lt;=$D$15+$E$15-1),$F$15/$E$15,0)</f>
        <v>0</v>
      </c>
      <c r="AP15" s="28" t="n">
        <f aca="false">IF(AND(36&gt;=$D$15,36&lt;=$D$15+$E$15-1),$F$15/$E$15,0)</f>
        <v>0</v>
      </c>
      <c r="AQ15" s="28" t="n">
        <f aca="false">IF(AND(37&gt;=$D$15,37&lt;=$D$15+$E$15-1),$F$15/$E$15,0)</f>
        <v>0</v>
      </c>
      <c r="AR15" s="28" t="n">
        <f aca="false">IF(AND(38&gt;=$D$15,38&lt;=$D$15+$E$15-1),$F$15/$E$15,0)</f>
        <v>0</v>
      </c>
      <c r="AS15" s="28" t="n">
        <f aca="false">IF(AND(39&gt;=$D$15,39&lt;=$D$15+$E$15-1),$F$15/$E$15,0)</f>
        <v>0</v>
      </c>
      <c r="AT15" s="28" t="n">
        <f aca="false">IF(AND(40&gt;=$D$15,40&lt;=$D$15+$E$15-1),$F$15/$E$15,0)</f>
        <v>309090909.090909</v>
      </c>
      <c r="AU15" s="28" t="n">
        <f aca="false">IF(AND(41&gt;=$D$15,41&lt;=$D$15+$E$15-1),$F$15/$E$15,0)</f>
        <v>309090909.090909</v>
      </c>
      <c r="AV15" s="28" t="n">
        <f aca="false">IF(AND(42&gt;=$D$15,42&lt;=$D$15+$E$15-1),$F$15/$E$15,0)</f>
        <v>309090909.090909</v>
      </c>
      <c r="AW15" s="28" t="n">
        <f aca="false">IF(AND(43&gt;=$D$15,43&lt;=$D$15+$E$15-1),$F$15/$E$15,0)</f>
        <v>309090909.090909</v>
      </c>
      <c r="AX15" s="28" t="n">
        <f aca="false">IF(AND(44&gt;=$D$15,44&lt;=$D$15+$E$15-1),$F$15/$E$15,0)</f>
        <v>309090909.090909</v>
      </c>
      <c r="AY15" s="28" t="n">
        <f aca="false">IF(AND(45&gt;=$D$15,45&lt;=$D$15+$E$15-1),$F$15/$E$15,0)</f>
        <v>309090909.090909</v>
      </c>
      <c r="AZ15" s="28" t="n">
        <f aca="false">IF(AND(46&gt;=$D$15,46&lt;=$D$15+$E$15-1),$F$15/$E$15,0)</f>
        <v>309090909.090909</v>
      </c>
      <c r="BA15" s="28" t="n">
        <f aca="false">IF(AND(47&gt;=$D$15,47&lt;=$D$15+$E$15-1),$F$15/$E$15,0)</f>
        <v>309090909.090909</v>
      </c>
      <c r="BB15" s="28" t="n">
        <f aca="false">IF(AND(48&gt;=$D$15,48&lt;=$D$15+$E$15-1),$F$15/$E$15,0)</f>
        <v>309090909.090909</v>
      </c>
      <c r="BC15" s="28" t="n">
        <f aca="false">IF(AND(49&gt;=$D$15,49&lt;=$D$15+$E$15-1),$F$15/$E$15,0)</f>
        <v>309090909.090909</v>
      </c>
      <c r="BD15" s="28" t="n">
        <f aca="false">IF(AND(50&gt;=$D$15,50&lt;=$D$15+$E$15-1),$F$15/$E$15,0)</f>
        <v>309090909.090909</v>
      </c>
      <c r="BE15" s="28" t="n">
        <f aca="false">IF(AND(51&gt;=$D$15,51&lt;=$D$15+$E$15-1),$F$15/$E$15,0)</f>
        <v>309090909.090909</v>
      </c>
      <c r="BF15" s="28" t="n">
        <f aca="false">IF(AND(52&gt;=$D$15,52&lt;=$D$15+$E$15-1),$F$15/$E$15,0)</f>
        <v>309090909.090909</v>
      </c>
      <c r="BG15" s="28" t="n">
        <f aca="false">IF(AND(53&gt;=$D$15,53&lt;=$D$15+$E$15-1),$F$15/$E$15,0)</f>
        <v>309090909.090909</v>
      </c>
      <c r="BH15" s="28" t="n">
        <f aca="false">IF(AND(54&gt;=$D$15,54&lt;=$D$15+$E$15-1),$F$15/$E$15,0)</f>
        <v>309090909.090909</v>
      </c>
      <c r="BI15" s="28" t="n">
        <f aca="false">IF(AND(55&gt;=$D$15,55&lt;=$D$15+$E$15-1),$F$15/$E$15,0)</f>
        <v>309090909.090909</v>
      </c>
      <c r="BJ15" s="28" t="n">
        <f aca="false">IF(AND(56&gt;=$D$15,56&lt;=$D$15+$E$15-1),$F$15/$E$15,0)</f>
        <v>309090909.090909</v>
      </c>
      <c r="BK15" s="28" t="n">
        <f aca="false">IF(AND(57&gt;=$D$15,57&lt;=$D$15+$E$15-1),$F$15/$E$15,0)</f>
        <v>309090909.090909</v>
      </c>
      <c r="BL15" s="28" t="n">
        <f aca="false">IF(AND(58&gt;=$D$15,58&lt;=$D$15+$E$15-1),$F$15/$E$15,0)</f>
        <v>309090909.090909</v>
      </c>
      <c r="BM15" s="28" t="n">
        <f aca="false">IF(AND(59&gt;=$D$15,59&lt;=$D$15+$E$15-1),$F$15/$E$15,0)</f>
        <v>309090909.090909</v>
      </c>
      <c r="BN15" s="28" t="n">
        <f aca="false">IF(AND(60&gt;=$D$15,60&lt;=$D$15+$E$15-1),$F$15/$E$15,0)</f>
        <v>309090909.090909</v>
      </c>
    </row>
    <row r="16" customFormat="false" ht="15" hidden="false" customHeight="true" outlineLevel="0" collapsed="false">
      <c r="A16" s="30" t="s">
        <v>341</v>
      </c>
      <c r="B16" s="31" t="s">
        <v>342</v>
      </c>
      <c r="C16" s="31"/>
      <c r="D16" s="31"/>
      <c r="E16" s="31"/>
      <c r="F16" s="31"/>
      <c r="G16" s="32" t="n">
        <f aca="false">SUM(G4:G15)</f>
        <v>528787878.787879</v>
      </c>
      <c r="H16" s="32" t="n">
        <f aca="false">SUM(H4:H15)</f>
        <v>528787878.787879</v>
      </c>
      <c r="I16" s="32" t="n">
        <f aca="false">SUM(I4:I15)</f>
        <v>718787878.787879</v>
      </c>
      <c r="J16" s="32" t="n">
        <f aca="false">SUM(J4:J15)</f>
        <v>718787878.787879</v>
      </c>
      <c r="K16" s="32" t="n">
        <f aca="false">SUM(K4:K15)</f>
        <v>947954545.454545</v>
      </c>
      <c r="L16" s="32" t="n">
        <f aca="false">SUM(L4:L15)</f>
        <v>947954545.454545</v>
      </c>
      <c r="M16" s="32" t="n">
        <f aca="false">SUM(M4:M15)</f>
        <v>947954545.454545</v>
      </c>
      <c r="N16" s="32" t="n">
        <f aca="false">SUM(N4:N15)</f>
        <v>1166136363.63636</v>
      </c>
      <c r="O16" s="32" t="n">
        <f aca="false">SUM(O4:O15)</f>
        <v>1166136363.63636</v>
      </c>
      <c r="P16" s="32" t="n">
        <f aca="false">SUM(P4:P15)</f>
        <v>1166136363.63636</v>
      </c>
      <c r="Q16" s="32" t="n">
        <f aca="false">SUM(Q4:Q15)</f>
        <v>1416136363.63636</v>
      </c>
      <c r="R16" s="32" t="n">
        <f aca="false">SUM(R4:R15)</f>
        <v>1416136363.63636</v>
      </c>
      <c r="S16" s="32" t="n">
        <f aca="false">SUM(S4:S15)</f>
        <v>1416136363.63636</v>
      </c>
      <c r="T16" s="32" t="n">
        <f aca="false">SUM(T4:T15)</f>
        <v>1616136363.63636</v>
      </c>
      <c r="U16" s="32" t="n">
        <f aca="false">SUM(U4:U15)</f>
        <v>1616136363.63636</v>
      </c>
      <c r="V16" s="32" t="n">
        <f aca="false">SUM(V4:V15)</f>
        <v>1616136363.63636</v>
      </c>
      <c r="W16" s="32" t="n">
        <f aca="false">SUM(W4:W15)</f>
        <v>1616136363.63636</v>
      </c>
      <c r="X16" s="32" t="n">
        <f aca="false">SUM(X4:X15)</f>
        <v>1876136363.63636</v>
      </c>
      <c r="Y16" s="32" t="n">
        <f aca="false">SUM(Y4:Y15)</f>
        <v>1642803030.30303</v>
      </c>
      <c r="Z16" s="32" t="n">
        <f aca="false">SUM(Z4:Z15)</f>
        <v>1642803030.30303</v>
      </c>
      <c r="AA16" s="32" t="n">
        <f aca="false">SUM(AA4:AA15)</f>
        <v>1642803030.30303</v>
      </c>
      <c r="AB16" s="32" t="n">
        <f aca="false">SUM(AB4:AB15)</f>
        <v>1967803030.30303</v>
      </c>
      <c r="AC16" s="32" t="n">
        <f aca="false">SUM(AC4:AC15)</f>
        <v>1482348484.84848</v>
      </c>
      <c r="AD16" s="32" t="n">
        <f aca="false">SUM(AD4:AD15)</f>
        <v>1482348484.84848</v>
      </c>
      <c r="AE16" s="32" t="n">
        <f aca="false">SUM(AE4:AE15)</f>
        <v>1482348484.84848</v>
      </c>
      <c r="AF16" s="32" t="n">
        <f aca="false">SUM(AF4:AF15)</f>
        <v>1482348484.84848</v>
      </c>
      <c r="AG16" s="32" t="n">
        <f aca="false">SUM(AG4:AG15)</f>
        <v>1482348484.84848</v>
      </c>
      <c r="AH16" s="32" t="n">
        <f aca="false">SUM(AH4:AH15)</f>
        <v>1757348484.84848</v>
      </c>
      <c r="AI16" s="32" t="n">
        <f aca="false">SUM(AI4:AI15)</f>
        <v>1278181818.18182</v>
      </c>
      <c r="AJ16" s="32" t="n">
        <f aca="false">SUM(AJ4:AJ15)</f>
        <v>860000000</v>
      </c>
      <c r="AK16" s="32" t="n">
        <f aca="false">SUM(AK4:AK15)</f>
        <v>860000000</v>
      </c>
      <c r="AL16" s="32" t="n">
        <f aca="false">SUM(AL4:AL15)</f>
        <v>1186923076.92308</v>
      </c>
      <c r="AM16" s="32" t="n">
        <f aca="false">SUM(AM4:AM15)</f>
        <v>1186923076.92308</v>
      </c>
      <c r="AN16" s="32" t="n">
        <f aca="false">SUM(AN4:AN15)</f>
        <v>1186923076.92308</v>
      </c>
      <c r="AO16" s="32" t="n">
        <f aca="false">SUM(AO4:AO15)</f>
        <v>1186923076.92308</v>
      </c>
      <c r="AP16" s="32" t="n">
        <f aca="false">SUM(AP4:AP15)</f>
        <v>1186923076.92308</v>
      </c>
      <c r="AQ16" s="32" t="n">
        <f aca="false">SUM(AQ4:AQ15)</f>
        <v>1186923076.92308</v>
      </c>
      <c r="AR16" s="32" t="n">
        <f aca="false">SUM(AR4:AR15)</f>
        <v>926923076.923077</v>
      </c>
      <c r="AS16" s="32" t="n">
        <f aca="false">SUM(AS4:AS15)</f>
        <v>926923076.923077</v>
      </c>
      <c r="AT16" s="32" t="n">
        <f aca="false">SUM(AT4:AT15)</f>
        <v>1236013986.01399</v>
      </c>
      <c r="AU16" s="32" t="n">
        <f aca="false">SUM(AU4:AU15)</f>
        <v>1236013986.01399</v>
      </c>
      <c r="AV16" s="32" t="n">
        <f aca="false">SUM(AV4:AV15)</f>
        <v>1236013986.01399</v>
      </c>
      <c r="AW16" s="32" t="n">
        <f aca="false">SUM(AW4:AW15)</f>
        <v>1236013986.01399</v>
      </c>
      <c r="AX16" s="32" t="n">
        <f aca="false">SUM(AX4:AX15)</f>
        <v>1236013986.01399</v>
      </c>
      <c r="AY16" s="32" t="n">
        <f aca="false">SUM(AY4:AY15)</f>
        <v>1236013986.01399</v>
      </c>
      <c r="AZ16" s="32" t="n">
        <f aca="false">SUM(AZ4:AZ15)</f>
        <v>911013986.013986</v>
      </c>
      <c r="BA16" s="32" t="n">
        <f aca="false">SUM(BA4:BA15)</f>
        <v>911013986.013986</v>
      </c>
      <c r="BB16" s="32" t="n">
        <f aca="false">SUM(BB4:BB15)</f>
        <v>636013986.013986</v>
      </c>
      <c r="BC16" s="32" t="n">
        <f aca="false">SUM(BC4:BC15)</f>
        <v>636013986.013986</v>
      </c>
      <c r="BD16" s="32" t="n">
        <f aca="false">SUM(BD4:BD15)</f>
        <v>636013986.013986</v>
      </c>
      <c r="BE16" s="32" t="n">
        <f aca="false">SUM(BE4:BE15)</f>
        <v>636013986.013986</v>
      </c>
      <c r="BF16" s="32" t="n">
        <f aca="false">SUM(BF4:BF15)</f>
        <v>636013986.013986</v>
      </c>
      <c r="BG16" s="32" t="n">
        <f aca="false">SUM(BG4:BG15)</f>
        <v>636013986.013986</v>
      </c>
      <c r="BH16" s="32" t="n">
        <f aca="false">SUM(BH4:BH15)</f>
        <v>636013986.013986</v>
      </c>
      <c r="BI16" s="32" t="n">
        <f aca="false">SUM(BI4:BI15)</f>
        <v>636013986.013986</v>
      </c>
      <c r="BJ16" s="32" t="n">
        <f aca="false">SUM(BJ4:BJ15)</f>
        <v>636013986.013986</v>
      </c>
      <c r="BK16" s="32" t="n">
        <f aca="false">SUM(BK4:BK15)</f>
        <v>636013986.013986</v>
      </c>
      <c r="BL16" s="32" t="n">
        <f aca="false">SUM(BL4:BL15)</f>
        <v>309090909.090909</v>
      </c>
      <c r="BM16" s="32" t="n">
        <f aca="false">SUM(BM4:BM15)</f>
        <v>309090909.090909</v>
      </c>
      <c r="BN16" s="32" t="n">
        <f aca="false">SUM(BN4:BN15)</f>
        <v>309090909.090909</v>
      </c>
    </row>
    <row r="18" customFormat="false" ht="19.5" hidden="false" customHeight="true" outlineLevel="0" collapsed="false">
      <c r="A18" s="14" t="s">
        <v>343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customFormat="false" ht="35.05" hidden="false" customHeight="false" outlineLevel="0" collapsed="false">
      <c r="A19" s="6" t="s">
        <v>344</v>
      </c>
      <c r="B19" s="25" t="n">
        <f aca="false">SUM(G16:R16)</f>
        <v>11669696969.697</v>
      </c>
      <c r="C19" s="25" t="n">
        <f aca="false">SUM(S16:AD16)</f>
        <v>19617727272.7273</v>
      </c>
      <c r="D19" s="25" t="n">
        <f aca="false">SUM(AE16:AP16)</f>
        <v>15137191142.1911</v>
      </c>
      <c r="E19" s="25" t="n">
        <f aca="false">SUM(AQ16:BB16)</f>
        <v>12914895104.8951</v>
      </c>
      <c r="F19" s="25" t="n">
        <f aca="false">SUM(BC16:BN16)</f>
        <v>6651398601.3986</v>
      </c>
    </row>
    <row r="20" customFormat="false" ht="23.85" hidden="false" customHeight="false" outlineLevel="0" collapsed="false">
      <c r="A20" s="6" t="s">
        <v>99</v>
      </c>
      <c r="B20" s="25" t="n">
        <f aca="false">(B19)*'2. Hypothèses'!$C$18</f>
        <v>933575757.575758</v>
      </c>
      <c r="C20" s="25" t="n">
        <f aca="false">(C19)*'2. Hypothèses'!$D$18</f>
        <v>1765595454.54545</v>
      </c>
      <c r="D20" s="25" t="n">
        <f aca="false">(D19)*'2. Hypothèses'!$E$18</f>
        <v>1513719114.21911</v>
      </c>
      <c r="E20" s="25" t="n">
        <f aca="false">(E19)*'2. Hypothèses'!$F$18</f>
        <v>1291489510.48951</v>
      </c>
      <c r="F20" s="25" t="n">
        <f aca="false">(F19)*'2. Hypothèses'!$G$18</f>
        <v>665139860.13986</v>
      </c>
    </row>
    <row r="21" customFormat="false" ht="23.85" hidden="false" customHeight="false" outlineLevel="0" collapsed="false">
      <c r="A21" s="6" t="s">
        <v>104</v>
      </c>
      <c r="B21" s="25" t="n">
        <f aca="false">B19*'2. Hypothèses'!$C$20</f>
        <v>175045454.545455</v>
      </c>
      <c r="C21" s="25" t="n">
        <f aca="false">C19*'2. Hypothèses'!$D$20</f>
        <v>392354545.454545</v>
      </c>
      <c r="D21" s="25" t="n">
        <f aca="false">D19*'2. Hypothèses'!$E$20</f>
        <v>302743822.843823</v>
      </c>
      <c r="E21" s="25" t="n">
        <f aca="false">E19*'2. Hypothèses'!$F$20</f>
        <v>258297902.097902</v>
      </c>
      <c r="F21" s="25" t="n">
        <f aca="false">F19*'2. Hypothèses'!$G$20</f>
        <v>133027972.027972</v>
      </c>
    </row>
    <row r="22" customFormat="false" ht="68.65" hidden="false" customHeight="false" outlineLevel="0" collapsed="false">
      <c r="A22" s="6" t="s">
        <v>345</v>
      </c>
      <c r="B22" s="25" t="n">
        <v>0</v>
      </c>
      <c r="C22" s="25" t="n">
        <f aca="false">MAX(0,0.4*'3. Pipeline &amp; Backlog'!C10+0.6*'3. Pipeline &amp; Backlog'!B10-C19)</f>
        <v>19442272727.2727</v>
      </c>
      <c r="D22" s="25" t="n">
        <f aca="false">MAX(0,0.4*'3. Pipeline &amp; Backlog'!D10+0.6*'3. Pipeline &amp; Backlog'!C10-D19)</f>
        <v>47102808857.8089</v>
      </c>
      <c r="E22" s="25" t="n">
        <f aca="false">MAX(0,0.4*'3. Pipeline &amp; Backlog'!E10+0.6*'3. Pipeline &amp; Backlog'!D10-E19)</f>
        <v>79165104895.1049</v>
      </c>
      <c r="F22" s="25" t="n">
        <f aca="false">MAX(0,0.4*'3. Pipeline &amp; Backlog'!F10+0.6*'3. Pipeline &amp; Backlog'!E10-F19)</f>
        <v>119268601398.601</v>
      </c>
    </row>
    <row r="23" customFormat="false" ht="35.05" hidden="false" customHeight="false" outlineLevel="0" collapsed="false">
      <c r="A23" s="33" t="s">
        <v>346</v>
      </c>
      <c r="B23" s="34" t="n">
        <f aca="false">B19+B20+B21+B22</f>
        <v>12778318181.8182</v>
      </c>
      <c r="C23" s="34" t="n">
        <f aca="false">C19+C20+C21+C22</f>
        <v>41217950000</v>
      </c>
      <c r="D23" s="34" t="n">
        <f aca="false">D19+D20+D21+D22</f>
        <v>64056462937.0629</v>
      </c>
      <c r="E23" s="34" t="n">
        <f aca="false">E19+E20+E21+E22</f>
        <v>93629787412.5874</v>
      </c>
      <c r="F23" s="34" t="n">
        <f aca="false">F19+F20+F21+F22</f>
        <v>126718167832.168</v>
      </c>
    </row>
    <row r="25" customFormat="false" ht="19.5" hidden="false" customHeight="true" outlineLevel="0" collapsed="false">
      <c r="A25" s="14" t="s">
        <v>347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customFormat="false" ht="15" hidden="false" customHeight="false" outlineLevel="0" collapsed="false">
      <c r="A26" s="6" t="s">
        <v>348</v>
      </c>
      <c r="B26" s="5" t="s">
        <v>251</v>
      </c>
      <c r="C26" s="5" t="s">
        <v>252</v>
      </c>
      <c r="D26" s="5" t="s">
        <v>253</v>
      </c>
      <c r="E26" s="5" t="s">
        <v>254</v>
      </c>
      <c r="F26" s="5" t="s">
        <v>255</v>
      </c>
      <c r="G26" s="5" t="s">
        <v>256</v>
      </c>
      <c r="H26" s="5" t="s">
        <v>257</v>
      </c>
      <c r="I26" s="5" t="s">
        <v>258</v>
      </c>
      <c r="J26" s="5" t="s">
        <v>259</v>
      </c>
      <c r="K26" s="5" t="s">
        <v>260</v>
      </c>
      <c r="L26" s="5" t="s">
        <v>261</v>
      </c>
      <c r="M26" s="5" t="s">
        <v>262</v>
      </c>
    </row>
    <row r="27" customFormat="false" ht="23.85" hidden="false" customHeight="false" outlineLevel="0" collapsed="false">
      <c r="A27" s="6" t="s">
        <v>349</v>
      </c>
      <c r="B27" s="22" t="n">
        <f aca="false">G16</f>
        <v>528787878.787879</v>
      </c>
      <c r="C27" s="22" t="n">
        <f aca="false">H16</f>
        <v>528787878.787879</v>
      </c>
      <c r="D27" s="22" t="n">
        <f aca="false">I16</f>
        <v>718787878.787879</v>
      </c>
      <c r="E27" s="22" t="n">
        <f aca="false">J16</f>
        <v>718787878.787879</v>
      </c>
      <c r="F27" s="22" t="n">
        <f aca="false">K16</f>
        <v>947954545.454545</v>
      </c>
      <c r="G27" s="22" t="n">
        <f aca="false">L16</f>
        <v>947954545.454545</v>
      </c>
      <c r="H27" s="22" t="n">
        <f aca="false">M16</f>
        <v>947954545.454545</v>
      </c>
      <c r="I27" s="22" t="n">
        <f aca="false">N16</f>
        <v>1166136363.63636</v>
      </c>
      <c r="J27" s="22" t="n">
        <f aca="false">O16</f>
        <v>1166136363.63636</v>
      </c>
      <c r="K27" s="22" t="n">
        <f aca="false">P16</f>
        <v>1166136363.63636</v>
      </c>
      <c r="L27" s="22" t="n">
        <f aca="false">Q16</f>
        <v>1416136363.63636</v>
      </c>
      <c r="M27" s="22" t="n">
        <f aca="false">R16</f>
        <v>1416136363.63636</v>
      </c>
    </row>
    <row r="28" customFormat="false" ht="23.85" hidden="false" customHeight="false" outlineLevel="0" collapsed="false">
      <c r="A28" s="6" t="s">
        <v>350</v>
      </c>
      <c r="B28" s="28" t="n">
        <f aca="false">B27*'2. Hypothèses'!$C$18</f>
        <v>42303030.3030303</v>
      </c>
      <c r="C28" s="28" t="n">
        <f aca="false">C27*'2. Hypothèses'!$C$18</f>
        <v>42303030.3030303</v>
      </c>
      <c r="D28" s="28" t="n">
        <f aca="false">D27*'2. Hypothèses'!$C$18</f>
        <v>57503030.3030303</v>
      </c>
      <c r="E28" s="28" t="n">
        <f aca="false">E27*'2. Hypothèses'!$C$18</f>
        <v>57503030.3030303</v>
      </c>
      <c r="F28" s="28" t="n">
        <f aca="false">F27*'2. Hypothèses'!$C$18</f>
        <v>75836363.6363636</v>
      </c>
      <c r="G28" s="28" t="n">
        <f aca="false">G27*'2. Hypothèses'!$C$18</f>
        <v>75836363.6363636</v>
      </c>
      <c r="H28" s="28" t="n">
        <f aca="false">H27*'2. Hypothèses'!$C$18</f>
        <v>75836363.6363636</v>
      </c>
      <c r="I28" s="28" t="n">
        <f aca="false">I27*'2. Hypothèses'!$C$18</f>
        <v>93290909.0909091</v>
      </c>
      <c r="J28" s="28" t="n">
        <f aca="false">J27*'2. Hypothèses'!$C$18</f>
        <v>93290909.0909091</v>
      </c>
      <c r="K28" s="28" t="n">
        <f aca="false">K27*'2. Hypothèses'!$C$18</f>
        <v>93290909.0909091</v>
      </c>
      <c r="L28" s="28" t="n">
        <f aca="false">L27*'2. Hypothèses'!$C$18</f>
        <v>113290909.090909</v>
      </c>
      <c r="M28" s="28" t="n">
        <f aca="false">M27*'2. Hypothèses'!$C$18</f>
        <v>113290909.090909</v>
      </c>
    </row>
    <row r="29" customFormat="false" ht="23.85" hidden="false" customHeight="false" outlineLevel="0" collapsed="false">
      <c r="A29" s="6" t="s">
        <v>351</v>
      </c>
      <c r="B29" s="28" t="n">
        <f aca="false">B27*'2. Hypothèses'!$C$20</f>
        <v>7931818.18181818</v>
      </c>
      <c r="C29" s="28" t="n">
        <f aca="false">C27*'2. Hypothèses'!$C$20</f>
        <v>7931818.18181818</v>
      </c>
      <c r="D29" s="28" t="n">
        <f aca="false">D27*'2. Hypothèses'!$C$20</f>
        <v>10781818.1818182</v>
      </c>
      <c r="E29" s="28" t="n">
        <f aca="false">E27*'2. Hypothèses'!$C$20</f>
        <v>10781818.1818182</v>
      </c>
      <c r="F29" s="28" t="n">
        <f aca="false">F27*'2. Hypothèses'!$C$20</f>
        <v>14219318.1818182</v>
      </c>
      <c r="G29" s="28" t="n">
        <f aca="false">G27*'2. Hypothèses'!$C$20</f>
        <v>14219318.1818182</v>
      </c>
      <c r="H29" s="28" t="n">
        <f aca="false">H27*'2. Hypothèses'!$C$20</f>
        <v>14219318.1818182</v>
      </c>
      <c r="I29" s="28" t="n">
        <f aca="false">I27*'2. Hypothèses'!$C$20</f>
        <v>17492045.4545455</v>
      </c>
      <c r="J29" s="28" t="n">
        <f aca="false">J27*'2. Hypothèses'!$C$20</f>
        <v>17492045.4545455</v>
      </c>
      <c r="K29" s="28" t="n">
        <f aca="false">K27*'2. Hypothèses'!$C$20</f>
        <v>17492045.4545455</v>
      </c>
      <c r="L29" s="28" t="n">
        <f aca="false">L27*'2. Hypothèses'!$C$20</f>
        <v>21242045.4545455</v>
      </c>
      <c r="M29" s="28" t="n">
        <f aca="false">M27*'2. Hypothèses'!$C$20</f>
        <v>21242045.4545455</v>
      </c>
    </row>
    <row r="30" customFormat="false" ht="35.05" hidden="false" customHeight="false" outlineLevel="0" collapsed="false">
      <c r="A30" s="33" t="s">
        <v>352</v>
      </c>
      <c r="B30" s="32" t="n">
        <f aca="false">B27+B28+B29</f>
        <v>579022727.272727</v>
      </c>
      <c r="C30" s="32" t="n">
        <f aca="false">C27+C28+C29</f>
        <v>579022727.272727</v>
      </c>
      <c r="D30" s="32" t="n">
        <f aca="false">D27+D28+D29</f>
        <v>787072727.272727</v>
      </c>
      <c r="E30" s="32" t="n">
        <f aca="false">E27+E28+E29</f>
        <v>787072727.272727</v>
      </c>
      <c r="F30" s="32" t="n">
        <f aca="false">F27+F28+F29</f>
        <v>1038010227.27273</v>
      </c>
      <c r="G30" s="32" t="n">
        <f aca="false">G27+G28+G29</f>
        <v>1038010227.27273</v>
      </c>
      <c r="H30" s="32" t="n">
        <f aca="false">H27+H28+H29</f>
        <v>1038010227.27273</v>
      </c>
      <c r="I30" s="32" t="n">
        <f aca="false">I27+I28+I29</f>
        <v>1276919318.18182</v>
      </c>
      <c r="J30" s="32" t="n">
        <f aca="false">J27+J28+J29</f>
        <v>1276919318.18182</v>
      </c>
      <c r="K30" s="32" t="n">
        <f aca="false">K27+K28+K29</f>
        <v>1276919318.18182</v>
      </c>
      <c r="L30" s="32" t="n">
        <f aca="false">L27+L28+L29</f>
        <v>1550669318.18182</v>
      </c>
      <c r="M30" s="32" t="n">
        <f aca="false">M27+M28+M29</f>
        <v>1550669318.18182</v>
      </c>
    </row>
  </sheetData>
  <mergeCells count="4">
    <mergeCell ref="A1:T1"/>
    <mergeCell ref="B16:F16"/>
    <mergeCell ref="A18:T18"/>
    <mergeCell ref="A25:T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8" min="2" style="0" width="14"/>
  </cols>
  <sheetData>
    <row r="1" customFormat="false" ht="30" hidden="false" customHeight="true" outlineLevel="0" collapsed="false">
      <c r="A1" s="1" t="s">
        <v>353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customFormat="false" ht="24.75" hidden="false" customHeight="true" outlineLevel="0" collapsed="false">
      <c r="A3" s="5" t="s">
        <v>354</v>
      </c>
      <c r="B3" s="5" t="s">
        <v>251</v>
      </c>
      <c r="C3" s="5" t="s">
        <v>252</v>
      </c>
      <c r="D3" s="5" t="s">
        <v>253</v>
      </c>
      <c r="E3" s="5" t="s">
        <v>254</v>
      </c>
      <c r="F3" s="5" t="s">
        <v>255</v>
      </c>
      <c r="G3" s="5" t="s">
        <v>256</v>
      </c>
      <c r="H3" s="5" t="s">
        <v>257</v>
      </c>
      <c r="I3" s="5" t="s">
        <v>258</v>
      </c>
      <c r="J3" s="5" t="s">
        <v>259</v>
      </c>
      <c r="K3" s="5" t="s">
        <v>260</v>
      </c>
      <c r="L3" s="5" t="s">
        <v>261</v>
      </c>
      <c r="M3" s="5" t="s">
        <v>262</v>
      </c>
      <c r="N3" s="5" t="s">
        <v>355</v>
      </c>
      <c r="O3" s="5" t="s">
        <v>65</v>
      </c>
      <c r="P3" s="5" t="s">
        <v>66</v>
      </c>
      <c r="Q3" s="5" t="s">
        <v>67</v>
      </c>
      <c r="R3" s="5" t="s">
        <v>68</v>
      </c>
    </row>
    <row r="4" customFormat="false" ht="19.5" hidden="false" customHeight="true" outlineLevel="0" collapsed="false">
      <c r="A4" s="14" t="s">
        <v>356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customFormat="false" ht="15" hidden="false" customHeight="false" outlineLevel="0" collapsed="false">
      <c r="A5" s="6" t="s">
        <v>357</v>
      </c>
      <c r="B5" s="22" t="n">
        <f aca="false">'4. Portefeuille chantiers'!B30</f>
        <v>579022727.272727</v>
      </c>
      <c r="C5" s="22" t="n">
        <f aca="false">'4. Portefeuille chantiers'!C30</f>
        <v>579022727.272727</v>
      </c>
      <c r="D5" s="22" t="n">
        <f aca="false">'4. Portefeuille chantiers'!D30</f>
        <v>787072727.272727</v>
      </c>
      <c r="E5" s="22" t="n">
        <f aca="false">'4. Portefeuille chantiers'!E30</f>
        <v>787072727.272727</v>
      </c>
      <c r="F5" s="22" t="n">
        <f aca="false">'4. Portefeuille chantiers'!F30</f>
        <v>1038010227.27273</v>
      </c>
      <c r="G5" s="22" t="n">
        <f aca="false">'4. Portefeuille chantiers'!G30</f>
        <v>1038010227.27273</v>
      </c>
      <c r="H5" s="22" t="n">
        <f aca="false">'4. Portefeuille chantiers'!H30</f>
        <v>1038010227.27273</v>
      </c>
      <c r="I5" s="22" t="n">
        <f aca="false">'4. Portefeuille chantiers'!I30</f>
        <v>1276919318.18182</v>
      </c>
      <c r="J5" s="22" t="n">
        <f aca="false">'4. Portefeuille chantiers'!J30</f>
        <v>1276919318.18182</v>
      </c>
      <c r="K5" s="22" t="n">
        <f aca="false">'4. Portefeuille chantiers'!K30</f>
        <v>1276919318.18182</v>
      </c>
      <c r="L5" s="22" t="n">
        <f aca="false">'4. Portefeuille chantiers'!L30</f>
        <v>1550669318.18182</v>
      </c>
      <c r="M5" s="22" t="n">
        <f aca="false">'4. Portefeuille chantiers'!M30</f>
        <v>1550669318.18182</v>
      </c>
      <c r="N5" s="23" t="n">
        <f aca="false">SUM(B5:M5)</f>
        <v>12778318181.8182</v>
      </c>
      <c r="O5" s="24" t="n">
        <f aca="false">'4. Portefeuille chantiers'!C23</f>
        <v>41217950000</v>
      </c>
      <c r="P5" s="24" t="n">
        <f aca="false">'4. Portefeuille chantiers'!D23</f>
        <v>64056462937.0629</v>
      </c>
      <c r="Q5" s="24" t="n">
        <f aca="false">'4. Portefeuille chantiers'!E23</f>
        <v>93629787412.5874</v>
      </c>
      <c r="R5" s="24" t="n">
        <f aca="false">'4. Portefeuille chantiers'!F23</f>
        <v>126718167832.168</v>
      </c>
    </row>
    <row r="6" customFormat="false" ht="19.5" hidden="false" customHeight="true" outlineLevel="0" collapsed="false">
      <c r="A6" s="14" t="s">
        <v>358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customFormat="false" ht="15" hidden="false" customHeight="false" outlineLevel="0" collapsed="false">
      <c r="A7" s="6" t="s">
        <v>359</v>
      </c>
      <c r="B7" s="28" t="n">
        <f aca="false">B5</f>
        <v>579022727.272727</v>
      </c>
      <c r="C7" s="28" t="n">
        <f aca="false">C5</f>
        <v>579022727.272727</v>
      </c>
      <c r="D7" s="28" t="n">
        <f aca="false">D5</f>
        <v>787072727.272727</v>
      </c>
      <c r="E7" s="28" t="n">
        <f aca="false">E5</f>
        <v>787072727.272727</v>
      </c>
      <c r="F7" s="28" t="n">
        <f aca="false">F5</f>
        <v>1038010227.27273</v>
      </c>
      <c r="G7" s="28" t="n">
        <f aca="false">G5</f>
        <v>1038010227.27273</v>
      </c>
      <c r="H7" s="28" t="n">
        <f aca="false">H5</f>
        <v>1038010227.27273</v>
      </c>
      <c r="I7" s="28" t="n">
        <f aca="false">I5</f>
        <v>1276919318.18182</v>
      </c>
      <c r="J7" s="28" t="n">
        <f aca="false">J5</f>
        <v>1276919318.18182</v>
      </c>
      <c r="K7" s="28" t="n">
        <f aca="false">K5</f>
        <v>1276919318.18182</v>
      </c>
      <c r="L7" s="28" t="n">
        <f aca="false">L5</f>
        <v>1550669318.18182</v>
      </c>
      <c r="M7" s="28" t="n">
        <f aca="false">M5</f>
        <v>1550669318.18182</v>
      </c>
      <c r="N7" s="28" t="n">
        <f aca="false">N5</f>
        <v>12778318181.8182</v>
      </c>
      <c r="O7" s="28" t="n">
        <f aca="false">O5</f>
        <v>41217950000</v>
      </c>
      <c r="P7" s="28" t="n">
        <f aca="false">P5</f>
        <v>64056462937.0629</v>
      </c>
      <c r="Q7" s="28" t="n">
        <f aca="false">Q5</f>
        <v>93629787412.5874</v>
      </c>
      <c r="R7" s="28" t="n">
        <f aca="false">R5</f>
        <v>126718167832.168</v>
      </c>
    </row>
    <row r="8" customFormat="false" ht="15" hidden="false" customHeight="false" outlineLevel="0" collapsed="false">
      <c r="A8" s="6" t="s">
        <v>360</v>
      </c>
      <c r="B8" s="28" t="n">
        <f aca="false">('3. Pipeline &amp; Backlog'!B10*'2. Hypothèses'!$C$33)*0.5</f>
        <v>2362500000</v>
      </c>
      <c r="C8" s="28" t="n">
        <f aca="false">('3. Pipeline &amp; Backlog'!B10*'2. Hypothèses'!$C$33)*0.3</f>
        <v>1417500000</v>
      </c>
      <c r="D8" s="28" t="n">
        <f aca="false">('3. Pipeline &amp; Backlog'!B10*'2. Hypothèses'!$C$33)*0.2</f>
        <v>945000000</v>
      </c>
      <c r="E8" s="28" t="n">
        <v>0</v>
      </c>
      <c r="F8" s="28" t="n">
        <v>0</v>
      </c>
      <c r="G8" s="28" t="n">
        <v>0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3" t="n">
        <f aca="false">SUM(B8:M8)</f>
        <v>4725000000</v>
      </c>
      <c r="O8" s="24" t="n">
        <f aca="false">'3. Pipeline &amp; Backlog'!C10*'2. Hypothèses'!$D$33</f>
        <v>7560000000</v>
      </c>
      <c r="P8" s="24" t="n">
        <f aca="false">'3. Pipeline &amp; Backlog'!D10*'2. Hypothèses'!$E$33</f>
        <v>12000000000</v>
      </c>
      <c r="Q8" s="24" t="n">
        <f aca="false">'3. Pipeline &amp; Backlog'!E10*'2. Hypothèses'!$F$33</f>
        <v>16530000000</v>
      </c>
      <c r="R8" s="24" t="n">
        <f aca="false">'3. Pipeline &amp; Backlog'!F10*'2. Hypothèses'!$G$33</f>
        <v>22425000000</v>
      </c>
    </row>
    <row r="9" customFormat="false" ht="15" hidden="false" customHeight="false" outlineLevel="0" collapsed="false">
      <c r="A9" s="6" t="s">
        <v>361</v>
      </c>
      <c r="B9" s="28" t="n">
        <f aca="false">-B7*'2. Hypothèses'!$C$33</f>
        <v>-86853409.0909091</v>
      </c>
      <c r="C9" s="28" t="n">
        <f aca="false">-C7*'2. Hypothèses'!$C$33</f>
        <v>-86853409.0909091</v>
      </c>
      <c r="D9" s="28" t="n">
        <f aca="false">-D7*'2. Hypothèses'!$C$33</f>
        <v>-118060909.090909</v>
      </c>
      <c r="E9" s="28" t="n">
        <f aca="false">-E7*'2. Hypothèses'!$C$33</f>
        <v>-118060909.090909</v>
      </c>
      <c r="F9" s="28" t="n">
        <f aca="false">-F7*'2. Hypothèses'!$C$33</f>
        <v>-155701534.090909</v>
      </c>
      <c r="G9" s="28" t="n">
        <f aca="false">-G7*'2. Hypothèses'!$C$33</f>
        <v>-155701534.090909</v>
      </c>
      <c r="H9" s="28" t="n">
        <f aca="false">-H7*'2. Hypothèses'!$C$33</f>
        <v>-155701534.090909</v>
      </c>
      <c r="I9" s="28" t="n">
        <f aca="false">-I7*'2. Hypothèses'!$C$33</f>
        <v>-191537897.727273</v>
      </c>
      <c r="J9" s="28" t="n">
        <f aca="false">-J7*'2. Hypothèses'!$C$33</f>
        <v>-191537897.727273</v>
      </c>
      <c r="K9" s="28" t="n">
        <f aca="false">-K7*'2. Hypothèses'!$C$33</f>
        <v>-191537897.727273</v>
      </c>
      <c r="L9" s="28" t="n">
        <f aca="false">-L7*'2. Hypothèses'!$C$33</f>
        <v>-232600397.727273</v>
      </c>
      <c r="M9" s="28" t="n">
        <f aca="false">-M7*'2. Hypothèses'!$C$33</f>
        <v>-232600397.727273</v>
      </c>
      <c r="N9" s="28" t="n">
        <f aca="false">-N7*'2. Hypothèses'!$C$33</f>
        <v>-1916747727.27273</v>
      </c>
      <c r="O9" s="28" t="n">
        <f aca="false">-O7*'2. Hypothèses'!$D$33</f>
        <v>-6182692500</v>
      </c>
      <c r="P9" s="28" t="n">
        <f aca="false">-P7*'2. Hypothèses'!$E$33</f>
        <v>-9608469440.55944</v>
      </c>
      <c r="Q9" s="28" t="n">
        <f aca="false">-Q7*'2. Hypothèses'!$F$33</f>
        <v>-14044468111.8881</v>
      </c>
      <c r="R9" s="28" t="n">
        <f aca="false">-R7*'2. Hypothèses'!$G$33</f>
        <v>-19007725174.8252</v>
      </c>
    </row>
    <row r="10" customFormat="false" ht="15" hidden="false" customHeight="false" outlineLevel="0" collapsed="false">
      <c r="A10" s="6" t="s">
        <v>362</v>
      </c>
      <c r="B10" s="28" t="n">
        <f aca="false">-B7*'2. Hypothèses'!$C$34</f>
        <v>-40531590.9090909</v>
      </c>
      <c r="C10" s="28" t="n">
        <f aca="false">-C7*'2. Hypothèses'!$C$34</f>
        <v>-40531590.9090909</v>
      </c>
      <c r="D10" s="28" t="n">
        <f aca="false">-D7*'2. Hypothèses'!$C$34</f>
        <v>-55095090.9090909</v>
      </c>
      <c r="E10" s="28" t="n">
        <f aca="false">-E7*'2. Hypothèses'!$C$34</f>
        <v>-55095090.9090909</v>
      </c>
      <c r="F10" s="28" t="n">
        <f aca="false">-F7*'2. Hypothèses'!$C$34</f>
        <v>-72660715.9090909</v>
      </c>
      <c r="G10" s="28" t="n">
        <f aca="false">-G7*'2. Hypothèses'!$C$34</f>
        <v>-72660715.9090909</v>
      </c>
      <c r="H10" s="28" t="n">
        <f aca="false">-H7*'2. Hypothèses'!$C$34</f>
        <v>-72660715.9090909</v>
      </c>
      <c r="I10" s="28" t="n">
        <f aca="false">-I7*'2. Hypothèses'!$C$34</f>
        <v>-89384352.2727273</v>
      </c>
      <c r="J10" s="28" t="n">
        <f aca="false">-J7*'2. Hypothèses'!$C$34</f>
        <v>-89384352.2727273</v>
      </c>
      <c r="K10" s="28" t="n">
        <f aca="false">-K7*'2. Hypothèses'!$C$34</f>
        <v>-89384352.2727273</v>
      </c>
      <c r="L10" s="28" t="n">
        <f aca="false">-L7*'2. Hypothèses'!$C$34</f>
        <v>-108546852.272727</v>
      </c>
      <c r="M10" s="28" t="n">
        <f aca="false">-M7*'2. Hypothèses'!$C$34</f>
        <v>-108546852.272727</v>
      </c>
      <c r="N10" s="28" t="n">
        <f aca="false">-N7*'2. Hypothèses'!$C$34</f>
        <v>-894482272.727273</v>
      </c>
      <c r="O10" s="28" t="n">
        <f aca="false">-O7*'2. Hypothèses'!$D$34</f>
        <v>-2885256500</v>
      </c>
      <c r="P10" s="28" t="n">
        <f aca="false">-P7*'2. Hypothèses'!$E$34</f>
        <v>-4483952405.59441</v>
      </c>
      <c r="Q10" s="28" t="n">
        <f aca="false">-Q7*'2. Hypothèses'!$F$34</f>
        <v>-6554085118.88112</v>
      </c>
      <c r="R10" s="28" t="n">
        <f aca="false">-R7*'2. Hypothèses'!$G$34</f>
        <v>-8870271748.25175</v>
      </c>
    </row>
    <row r="11" customFormat="false" ht="15" hidden="false" customHeight="false" outlineLevel="0" collapsed="false">
      <c r="A11" s="12" t="s">
        <v>363</v>
      </c>
      <c r="B11" s="35" t="n">
        <f aca="false">B7+B8+B9+B10</f>
        <v>2814137727.27273</v>
      </c>
      <c r="C11" s="35" t="n">
        <f aca="false">C7+C8+C9+C10</f>
        <v>1869137727.27273</v>
      </c>
      <c r="D11" s="35" t="n">
        <f aca="false">D7+D8+D9+D10</f>
        <v>1558916727.27273</v>
      </c>
      <c r="E11" s="35" t="n">
        <f aca="false">E7+E8+E9+E10</f>
        <v>613916727.272727</v>
      </c>
      <c r="F11" s="35" t="n">
        <f aca="false">F7+F8+F9+F10</f>
        <v>809647977.272727</v>
      </c>
      <c r="G11" s="35" t="n">
        <f aca="false">G7+G8+G9+G10</f>
        <v>809647977.272727</v>
      </c>
      <c r="H11" s="35" t="n">
        <f aca="false">H7+H8+H9+H10</f>
        <v>809647977.272727</v>
      </c>
      <c r="I11" s="35" t="n">
        <f aca="false">I7+I8+I9+I10</f>
        <v>995997068.181818</v>
      </c>
      <c r="J11" s="35" t="n">
        <f aca="false">J7+J8+J9+J10</f>
        <v>995997068.181818</v>
      </c>
      <c r="K11" s="35" t="n">
        <f aca="false">K7+K8+K9+K10</f>
        <v>995997068.181818</v>
      </c>
      <c r="L11" s="35" t="n">
        <f aca="false">L7+L8+L9+L10</f>
        <v>1209522068.18182</v>
      </c>
      <c r="M11" s="35" t="n">
        <f aca="false">M7+M8+M9+M10</f>
        <v>1209522068.18182</v>
      </c>
      <c r="N11" s="35" t="n">
        <f aca="false">N7+N8+N9+N10</f>
        <v>14692088181.8182</v>
      </c>
      <c r="O11" s="35" t="n">
        <f aca="false">O7+O8+O9+O10</f>
        <v>39710001000</v>
      </c>
      <c r="P11" s="35" t="n">
        <f aca="false">P7+P8+P9+P10</f>
        <v>61964041090.9091</v>
      </c>
      <c r="Q11" s="35" t="n">
        <f aca="false">Q7+Q8+Q9+Q10</f>
        <v>89561234181.8182</v>
      </c>
      <c r="R11" s="35" t="n">
        <f aca="false">R7+R8+R9+R10</f>
        <v>121265170909.091</v>
      </c>
    </row>
    <row r="12" customFormat="false" ht="19.5" hidden="false" customHeight="true" outlineLevel="0" collapsed="false">
      <c r="A12" s="14" t="s">
        <v>364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customFormat="false" ht="15" hidden="false" customHeight="false" outlineLevel="0" collapsed="false">
      <c r="A13" s="6" t="s">
        <v>365</v>
      </c>
      <c r="B13" s="28" t="n">
        <f aca="false">IF(1-ROUNDUP('2. Hypothèses'!$C$36/30,0)&lt;1,0,INDEX($B$11:$M$11,1,1-ROUNDUP('2. Hypothèses'!$C$36/30,0)))</f>
        <v>0</v>
      </c>
      <c r="C13" s="28" t="n">
        <f aca="false">IF(2-ROUNDUP('2. Hypothèses'!$C$36/30,0)&lt;1,0,INDEX($B$11:$M$11,1,2-ROUNDUP('2. Hypothèses'!$C$36/30,0)))</f>
        <v>0</v>
      </c>
      <c r="D13" s="28" t="n">
        <f aca="false">IF(3-ROUNDUP('2. Hypothèses'!$C$36/30,0)&lt;1,0,INDEX($B$11:$M$11,1,3-ROUNDUP('2. Hypothèses'!$C$36/30,0)))</f>
        <v>0</v>
      </c>
      <c r="E13" s="28" t="n">
        <f aca="false">IF(4-ROUNDUP('2. Hypothèses'!$C$36/30,0)&lt;1,0,INDEX($B$11:$M$11,1,4-ROUNDUP('2. Hypothèses'!$C$36/30,0)))</f>
        <v>0</v>
      </c>
      <c r="F13" s="28" t="n">
        <f aca="false">IF(5-ROUNDUP('2. Hypothèses'!$C$36/30,0)&lt;1,0,INDEX($B$11:$M$11,1,5-ROUNDUP('2. Hypothèses'!$C$36/30,0)))</f>
        <v>2814137727.27273</v>
      </c>
      <c r="G13" s="28" t="n">
        <f aca="false">IF(6-ROUNDUP('2. Hypothèses'!$C$36/30,0)&lt;1,0,INDEX($B$11:$M$11,1,6-ROUNDUP('2. Hypothèses'!$C$36/30,0)))</f>
        <v>1869137727.27273</v>
      </c>
      <c r="H13" s="28" t="n">
        <f aca="false">IF(7-ROUNDUP('2. Hypothèses'!$C$36/30,0)&lt;1,0,INDEX($B$11:$M$11,1,7-ROUNDUP('2. Hypothèses'!$C$36/30,0)))</f>
        <v>1558916727.27273</v>
      </c>
      <c r="I13" s="28" t="n">
        <f aca="false">IF(8-ROUNDUP('2. Hypothèses'!$C$36/30,0)&lt;1,0,INDEX($B$11:$M$11,1,8-ROUNDUP('2. Hypothèses'!$C$36/30,0)))</f>
        <v>613916727.272727</v>
      </c>
      <c r="J13" s="28" t="n">
        <f aca="false">IF(9-ROUNDUP('2. Hypothèses'!$C$36/30,0)&lt;1,0,INDEX($B$11:$M$11,1,9-ROUNDUP('2. Hypothèses'!$C$36/30,0)))</f>
        <v>809647977.272727</v>
      </c>
      <c r="K13" s="28" t="n">
        <f aca="false">IF(10-ROUNDUP('2. Hypothèses'!$C$36/30,0)&lt;1,0,INDEX($B$11:$M$11,1,10-ROUNDUP('2. Hypothèses'!$C$36/30,0)))</f>
        <v>809647977.272727</v>
      </c>
      <c r="L13" s="28" t="n">
        <f aca="false">IF(11-ROUNDUP('2. Hypothèses'!$C$36/30,0)&lt;1,0,INDEX($B$11:$M$11,1,11-ROUNDUP('2. Hypothèses'!$C$36/30,0)))</f>
        <v>809647977.272727</v>
      </c>
      <c r="M13" s="28" t="n">
        <f aca="false">IF(12-ROUNDUP('2. Hypothèses'!$C$36/30,0)&lt;1,0,INDEX($B$11:$M$11,1,12-ROUNDUP('2. Hypothèses'!$C$36/30,0)))</f>
        <v>995997068.181818</v>
      </c>
      <c r="N13" s="23" t="n">
        <f aca="false">SUM(B13:M13)</f>
        <v>10281049909.0909</v>
      </c>
      <c r="O13" s="25" t="n">
        <f aca="false">O11+(N11-N13)</f>
        <v>44121039272.7273</v>
      </c>
      <c r="P13" s="25" t="n">
        <f aca="false">P11</f>
        <v>61964041090.9091</v>
      </c>
      <c r="Q13" s="25" t="n">
        <f aca="false">Q11</f>
        <v>89561234181.8182</v>
      </c>
      <c r="R13" s="25" t="n">
        <f aca="false">R11</f>
        <v>121265170909.091</v>
      </c>
    </row>
    <row r="14" customFormat="false" ht="15" hidden="false" customHeight="false" outlineLevel="0" collapsed="false">
      <c r="A14" s="6" t="s">
        <v>366</v>
      </c>
      <c r="B14" s="28" t="n">
        <v>0</v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0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3" t="n">
        <f aca="false">SUM(B14:M14)</f>
        <v>0</v>
      </c>
      <c r="O14" s="25" t="n">
        <f aca="false">-N10</f>
        <v>894482272.727273</v>
      </c>
      <c r="P14" s="25" t="n">
        <f aca="false">-O10</f>
        <v>2885256500</v>
      </c>
      <c r="Q14" s="25" t="n">
        <f aca="false">-P10</f>
        <v>4483952405.59441</v>
      </c>
      <c r="R14" s="25" t="n">
        <f aca="false">-Q10</f>
        <v>6554085118.88112</v>
      </c>
    </row>
    <row r="15" customFormat="false" ht="15" hidden="false" customHeight="false" outlineLevel="0" collapsed="false">
      <c r="A15" s="33" t="s">
        <v>367</v>
      </c>
      <c r="B15" s="32" t="n">
        <f aca="false">B13+B14</f>
        <v>0</v>
      </c>
      <c r="C15" s="32" t="n">
        <f aca="false">C13+C14</f>
        <v>0</v>
      </c>
      <c r="D15" s="32" t="n">
        <f aca="false">D13+D14</f>
        <v>0</v>
      </c>
      <c r="E15" s="32" t="n">
        <f aca="false">E13+E14</f>
        <v>0</v>
      </c>
      <c r="F15" s="32" t="n">
        <f aca="false">F13+F14</f>
        <v>2814137727.27273</v>
      </c>
      <c r="G15" s="32" t="n">
        <f aca="false">G13+G14</f>
        <v>1869137727.27273</v>
      </c>
      <c r="H15" s="32" t="n">
        <f aca="false">H13+H14</f>
        <v>1558916727.27273</v>
      </c>
      <c r="I15" s="32" t="n">
        <f aca="false">I13+I14</f>
        <v>613916727.272727</v>
      </c>
      <c r="J15" s="32" t="n">
        <f aca="false">J13+J14</f>
        <v>809647977.272727</v>
      </c>
      <c r="K15" s="32" t="n">
        <f aca="false">K13+K14</f>
        <v>809647977.272727</v>
      </c>
      <c r="L15" s="32" t="n">
        <f aca="false">L13+L14</f>
        <v>809647977.272727</v>
      </c>
      <c r="M15" s="32" t="n">
        <f aca="false">M13+M14</f>
        <v>995997068.181818</v>
      </c>
      <c r="N15" s="32" t="n">
        <f aca="false">N13+N14</f>
        <v>10281049909.0909</v>
      </c>
      <c r="O15" s="32" t="n">
        <f aca="false">O13+O14</f>
        <v>45015521545.4545</v>
      </c>
      <c r="P15" s="32" t="n">
        <f aca="false">P13+P14</f>
        <v>64849297590.9091</v>
      </c>
      <c r="Q15" s="32" t="n">
        <f aca="false">Q13+Q14</f>
        <v>94045186587.4126</v>
      </c>
      <c r="R15" s="32" t="n">
        <f aca="false">R13+R14</f>
        <v>127819256027.972</v>
      </c>
    </row>
  </sheetData>
  <mergeCells count="4">
    <mergeCell ref="A1:R1"/>
    <mergeCell ref="A4:R4"/>
    <mergeCell ref="A6:R6"/>
    <mergeCell ref="A12:R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  <col collapsed="false" customWidth="true" hidden="false" outlineLevel="0" max="7" min="7" style="0" width="4"/>
    <col collapsed="false" customWidth="true" hidden="false" outlineLevel="0" max="8" min="8" style="0" width="42"/>
  </cols>
  <sheetData>
    <row r="1" customFormat="false" ht="30" hidden="false" customHeight="true" outlineLevel="0" collapsed="false">
      <c r="A1" s="1" t="s">
        <v>368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5" t="s">
        <v>354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  <c r="G3" s="5"/>
      <c r="H3" s="5" t="s">
        <v>69</v>
      </c>
    </row>
    <row r="4" customFormat="false" ht="19.5" hidden="false" customHeight="true" outlineLevel="0" collapsed="false">
      <c r="A4" s="14" t="s">
        <v>369</v>
      </c>
      <c r="B4" s="14"/>
      <c r="C4" s="14"/>
      <c r="D4" s="14"/>
      <c r="E4" s="14"/>
      <c r="F4" s="14"/>
      <c r="G4" s="14"/>
      <c r="H4" s="14"/>
    </row>
    <row r="5" customFormat="false" ht="15" hidden="false" customHeight="false" outlineLevel="0" collapsed="false">
      <c r="A5" s="6" t="s">
        <v>370</v>
      </c>
      <c r="B5" s="25" t="n">
        <f aca="false">'2. Hypothèses'!$C$10*'2. Hypothèses'!$C$12*'2. Hypothèses'!$C$40*0.5</f>
        <v>735000000</v>
      </c>
      <c r="C5" s="25" t="n">
        <f aca="false">'2. Hypothèses'!$D$10*'2. Hypothèses'!$D$12*'2. Hypothèses'!$D$40*0.5</f>
        <v>1102500000</v>
      </c>
      <c r="D5" s="25" t="n">
        <f aca="false">'2. Hypothèses'!$E$10*'2. Hypothèses'!$E$12*'2. Hypothèses'!$E$40*0.5</f>
        <v>1575000000</v>
      </c>
      <c r="E5" s="25" t="n">
        <f aca="false">'2. Hypothèses'!$F$10*'2. Hypothèses'!$F$12*'2. Hypothèses'!$F$40*0.5</f>
        <v>2088000000</v>
      </c>
      <c r="F5" s="25" t="n">
        <f aca="false">'2. Hypothèses'!$G$10*'2. Hypothèses'!$G$12*'2. Hypothèses'!$G$40*0.5</f>
        <v>2681250000</v>
      </c>
    </row>
    <row r="6" customFormat="false" ht="15" hidden="false" customHeight="false" outlineLevel="0" collapsed="false">
      <c r="A6" s="6" t="s">
        <v>371</v>
      </c>
      <c r="B6" s="24" t="n">
        <f aca="false">'3. Pipeline &amp; Backlog'!B13*'2. Hypothèses'!$C$41</f>
        <v>8058252272.72727</v>
      </c>
      <c r="C6" s="24" t="n">
        <f aca="false">'3. Pipeline &amp; Backlog'!C13*'2. Hypothèses'!$D$41</f>
        <v>9435559772.72727</v>
      </c>
      <c r="D6" s="24" t="n">
        <f aca="false">'3. Pipeline &amp; Backlog'!D13*'2. Hypothèses'!$E$41</f>
        <v>11827090332.1678</v>
      </c>
      <c r="E6" s="24" t="n">
        <f aca="false">'3. Pipeline &amp; Backlog'!E13*'2. Hypothèses'!$F$41</f>
        <v>14312622220.2797</v>
      </c>
      <c r="F6" s="24" t="n">
        <f aca="false">'3. Pipeline &amp; Backlog'!F13*'2. Hypothèses'!$G$41</f>
        <v>17729897045.4545</v>
      </c>
    </row>
    <row r="7" customFormat="false" ht="15" hidden="false" customHeight="false" outlineLevel="0" collapsed="false">
      <c r="A7" s="6" t="s">
        <v>372</v>
      </c>
      <c r="B7" s="24" t="n">
        <f aca="false">'3. Pipeline &amp; Backlog'!B13*'2. Hypothèses'!$C$42</f>
        <v>2686084090.90909</v>
      </c>
      <c r="C7" s="24" t="n">
        <f aca="false">'3. Pipeline &amp; Backlog'!C13*'2. Hypothèses'!$D$42</f>
        <v>3145186590.90909</v>
      </c>
      <c r="D7" s="24" t="n">
        <f aca="false">'3. Pipeline &amp; Backlog'!D13*'2. Hypothèses'!$E$42</f>
        <v>3942363444.05594</v>
      </c>
      <c r="E7" s="24" t="n">
        <f aca="false">'3. Pipeline &amp; Backlog'!E13*'2. Hypothèses'!$F$42</f>
        <v>4770874073.42658</v>
      </c>
      <c r="F7" s="24" t="n">
        <f aca="false">'3. Pipeline &amp; Backlog'!F13*'2. Hypothèses'!$G$42</f>
        <v>5909965681.81818</v>
      </c>
    </row>
    <row r="8" customFormat="false" ht="15" hidden="false" customHeight="false" outlineLevel="0" collapsed="false">
      <c r="A8" s="6" t="s">
        <v>373</v>
      </c>
      <c r="B8" s="24" t="n">
        <f aca="false">-'5. Décomptes &amp; encaissements'!N10*1.5</f>
        <v>1341723409.09091</v>
      </c>
      <c r="C8" s="24" t="n">
        <f aca="false">-'5. Décomptes &amp; encaissements'!O10*1.5</f>
        <v>4327884750</v>
      </c>
      <c r="D8" s="24" t="n">
        <f aca="false">-'5. Décomptes &amp; encaissements'!P10*1.5</f>
        <v>6725928608.39161</v>
      </c>
      <c r="E8" s="24" t="n">
        <f aca="false">-'5. Décomptes &amp; encaissements'!Q10*1.5</f>
        <v>9831127678.32168</v>
      </c>
      <c r="F8" s="24" t="n">
        <f aca="false">-'5. Décomptes &amp; encaissements'!R10*1.5</f>
        <v>13305407622.3776</v>
      </c>
    </row>
    <row r="9" customFormat="false" ht="15" hidden="false" customHeight="false" outlineLevel="0" collapsed="false">
      <c r="A9" s="33" t="s">
        <v>374</v>
      </c>
      <c r="B9" s="34" t="n">
        <f aca="false">B5+B6+B7+B8</f>
        <v>12821059772.7273</v>
      </c>
      <c r="C9" s="34" t="n">
        <f aca="false">C5+C6+C7+C8</f>
        <v>18011131113.6364</v>
      </c>
      <c r="D9" s="34" t="n">
        <f aca="false">D5+D6+D7+D8</f>
        <v>24070382384.6154</v>
      </c>
      <c r="E9" s="34" t="n">
        <f aca="false">E5+E6+E7+E8</f>
        <v>31002623972.028</v>
      </c>
      <c r="F9" s="34" t="n">
        <f aca="false">F5+F6+F7+F8</f>
        <v>39626520349.6504</v>
      </c>
    </row>
    <row r="10" customFormat="false" ht="19.5" hidden="false" customHeight="true" outlineLevel="0" collapsed="false">
      <c r="A10" s="14" t="s">
        <v>375</v>
      </c>
      <c r="B10" s="14"/>
      <c r="C10" s="14"/>
      <c r="D10" s="14"/>
      <c r="E10" s="14"/>
      <c r="F10" s="14"/>
      <c r="G10" s="14"/>
      <c r="H10" s="14"/>
    </row>
    <row r="11" customFormat="false" ht="15" hidden="false" customHeight="false" outlineLevel="0" collapsed="false">
      <c r="A11" s="6" t="s">
        <v>376</v>
      </c>
      <c r="B11" s="28" t="n">
        <f aca="false">B9*'2. Hypothèses'!$C$44</f>
        <v>320526494.318182</v>
      </c>
      <c r="C11" s="28" t="n">
        <f aca="false">C9*'2. Hypothèses'!$D$44</f>
        <v>432267146.727273</v>
      </c>
      <c r="D11" s="28" t="n">
        <f aca="false">D9*'2. Hypothèses'!$E$44</f>
        <v>553618794.846154</v>
      </c>
      <c r="E11" s="28" t="n">
        <f aca="false">E9*'2. Hypothèses'!$F$44</f>
        <v>682057727.384615</v>
      </c>
      <c r="F11" s="28" t="n">
        <f aca="false">F9*'2. Hypothèses'!$G$44</f>
        <v>792530406.993007</v>
      </c>
    </row>
    <row r="12" customFormat="false" ht="15" hidden="false" customHeight="false" outlineLevel="0" collapsed="false">
      <c r="A12" s="6" t="s">
        <v>377</v>
      </c>
      <c r="B12" s="25" t="n">
        <f aca="false">B9*'2. Hypothèses'!$C$45</f>
        <v>2564211954.54545</v>
      </c>
      <c r="C12" s="25" t="n">
        <f aca="false">C9*'2. Hypothèses'!$D$45</f>
        <v>3242003600.45455</v>
      </c>
      <c r="D12" s="25" t="n">
        <f aca="false">D9*'2. Hypothèses'!$E$45</f>
        <v>3610557357.69231</v>
      </c>
      <c r="E12" s="25" t="n">
        <f aca="false">E9*'2. Hypothèses'!$F$45</f>
        <v>3720314876.64336</v>
      </c>
      <c r="F12" s="25" t="n">
        <f aca="false">F9*'2. Hypothèses'!$G$45</f>
        <v>3962652034.96504</v>
      </c>
    </row>
    <row r="13" customFormat="false" ht="19.5" hidden="false" customHeight="true" outlineLevel="0" collapsed="false">
      <c r="A13" s="14" t="s">
        <v>378</v>
      </c>
      <c r="B13" s="14"/>
      <c r="C13" s="14"/>
      <c r="D13" s="14"/>
      <c r="E13" s="14"/>
      <c r="F13" s="14"/>
      <c r="G13" s="14"/>
      <c r="H13" s="14"/>
    </row>
    <row r="14" customFormat="false" ht="15" hidden="false" customHeight="false" outlineLevel="0" collapsed="false">
      <c r="A14" s="6" t="s">
        <v>379</v>
      </c>
      <c r="B14" s="24" t="n">
        <f aca="false">'4. Portefeuille chantiers'!B23*'2. Hypothèses'!$C$36/360</f>
        <v>4259439393.93939</v>
      </c>
      <c r="C14" s="24" t="n">
        <f aca="false">'4. Portefeuille chantiers'!C23*'2. Hypothèses'!$D$36/360</f>
        <v>12594373611.1111</v>
      </c>
      <c r="D14" s="24" t="n">
        <f aca="false">'4. Portefeuille chantiers'!D23*'2. Hypothèses'!$E$36/360</f>
        <v>17793461926.9619</v>
      </c>
      <c r="E14" s="24" t="n">
        <f aca="false">'4. Portefeuille chantiers'!E23*'2. Hypothèses'!$F$36/360</f>
        <v>24707860567.2106</v>
      </c>
      <c r="F14" s="24" t="n">
        <f aca="false">'4. Portefeuille chantiers'!F23*'2. Hypothèses'!$G$36/360</f>
        <v>31679541958.042</v>
      </c>
    </row>
    <row r="15" customFormat="false" ht="15" hidden="false" customHeight="false" outlineLevel="0" collapsed="false">
      <c r="A15" s="6" t="s">
        <v>380</v>
      </c>
      <c r="B15" s="24" t="n">
        <f aca="false">-'5. Décomptes &amp; encaissements'!N10*1.5</f>
        <v>1341723409.09091</v>
      </c>
      <c r="C15" s="24" t="n">
        <f aca="false">-'5. Décomptes &amp; encaissements'!O10*1.5</f>
        <v>4327884750</v>
      </c>
      <c r="D15" s="24" t="n">
        <f aca="false">-'5. Décomptes &amp; encaissements'!P10*1.5</f>
        <v>6725928608.39161</v>
      </c>
      <c r="E15" s="24" t="n">
        <f aca="false">-'5. Décomptes &amp; encaissements'!Q10*1.5</f>
        <v>9831127678.32168</v>
      </c>
      <c r="F15" s="24" t="n">
        <f aca="false">-'5. Décomptes &amp; encaissements'!R10*1.5</f>
        <v>13305407622.3776</v>
      </c>
    </row>
    <row r="16" customFormat="false" ht="15" hidden="false" customHeight="false" outlineLevel="0" collapsed="false">
      <c r="A16" s="6" t="s">
        <v>381</v>
      </c>
      <c r="B16" s="24" t="n">
        <f aca="false">'4. Portefeuille chantiers'!B23*0.06</f>
        <v>766699090.909091</v>
      </c>
      <c r="C16" s="24" t="n">
        <f aca="false">'4. Portefeuille chantiers'!C23*0.06</f>
        <v>2473077000</v>
      </c>
      <c r="D16" s="24" t="n">
        <f aca="false">'4. Portefeuille chantiers'!D23*0.06</f>
        <v>3843387776.22378</v>
      </c>
      <c r="E16" s="24" t="n">
        <f aca="false">'4. Portefeuille chantiers'!E23*0.06</f>
        <v>5617787244.75524</v>
      </c>
      <c r="F16" s="24" t="n">
        <f aca="false">'4. Portefeuille chantiers'!F23*0.06</f>
        <v>7603090069.93007</v>
      </c>
    </row>
    <row r="17" customFormat="false" ht="15" hidden="false" customHeight="false" outlineLevel="0" collapsed="false">
      <c r="A17" s="6" t="s">
        <v>382</v>
      </c>
      <c r="B17" s="24" t="n">
        <f aca="false">-'4. Portefeuille chantiers'!B23*(1-'2. Hypothèses'!$C$17)*'2. Hypothèses'!$C$37/360</f>
        <v>-1831558939.39394</v>
      </c>
      <c r="C17" s="24" t="n">
        <f aca="false">-'4. Portefeuille chantiers'!C23*(1-'2. Hypothèses'!$D$17)*'2. Hypothèses'!$D$37/360</f>
        <v>-6325810381.94445</v>
      </c>
      <c r="D17" s="24" t="n">
        <f aca="false">-'4. Portefeuille chantiers'!D23*(1-'2. Hypothèses'!$E$17)*'2. Hypothèses'!$E$37/360</f>
        <v>-9715230212.12121</v>
      </c>
      <c r="E17" s="24" t="n">
        <f aca="false">-'4. Portefeuille chantiers'!E23*(1-'2. Hypothèses'!$F$17)*'2. Hypothèses'!$F$37/360</f>
        <v>-15292865277.3893</v>
      </c>
      <c r="F17" s="24" t="n">
        <f aca="false">-'4. Portefeuille chantiers'!F23*(1-'2. Hypothèses'!$G$17)*'2. Hypothèses'!$G$37/360</f>
        <v>-20450904308.4693</v>
      </c>
    </row>
    <row r="18" customFormat="false" ht="15" hidden="false" customHeight="false" outlineLevel="0" collapsed="false">
      <c r="A18" s="6" t="s">
        <v>383</v>
      </c>
      <c r="B18" s="24" t="n">
        <f aca="false">-'5. Décomptes &amp; encaissements'!N8*0.3</f>
        <v>-1417500000</v>
      </c>
      <c r="C18" s="24" t="n">
        <f aca="false">-'5. Décomptes &amp; encaissements'!O8*0.3</f>
        <v>-2268000000</v>
      </c>
      <c r="D18" s="24" t="n">
        <f aca="false">-'5. Décomptes &amp; encaissements'!P8*0.3</f>
        <v>-3600000000</v>
      </c>
      <c r="E18" s="24" t="n">
        <f aca="false">-'5. Décomptes &amp; encaissements'!Q8*0.3</f>
        <v>-4959000000</v>
      </c>
      <c r="F18" s="24" t="n">
        <f aca="false">-'5. Décomptes &amp; encaissements'!R8*0.3</f>
        <v>-6727500000</v>
      </c>
    </row>
    <row r="19" customFormat="false" ht="15" hidden="false" customHeight="false" outlineLevel="0" collapsed="false">
      <c r="A19" s="12" t="s">
        <v>384</v>
      </c>
      <c r="B19" s="23" t="n">
        <f aca="false">B14+B15+B16+B17+B18</f>
        <v>3118802954.54546</v>
      </c>
      <c r="C19" s="23" t="n">
        <f aca="false">C14+C15+C16+C17+C18</f>
        <v>10801524979.1667</v>
      </c>
      <c r="D19" s="23" t="n">
        <f aca="false">D14+D15+D16+D17+D18</f>
        <v>15047548099.4561</v>
      </c>
      <c r="E19" s="23" t="n">
        <f aca="false">E14+E15+E16+E17+E18</f>
        <v>19904910212.8982</v>
      </c>
      <c r="F19" s="23" t="n">
        <f aca="false">F14+F15+F16+F17+F18</f>
        <v>25409635341.8804</v>
      </c>
    </row>
    <row r="20" customFormat="false" ht="15" hidden="false" customHeight="false" outlineLevel="0" collapsed="false">
      <c r="A20" s="33" t="s">
        <v>385</v>
      </c>
      <c r="B20" s="34" t="n">
        <f aca="false">B19+B12</f>
        <v>5683014909.09091</v>
      </c>
      <c r="C20" s="34" t="n">
        <f aca="false">C19+C12</f>
        <v>14043528579.6212</v>
      </c>
      <c r="D20" s="34" t="n">
        <f aca="false">D19+D12</f>
        <v>18658105457.1484</v>
      </c>
      <c r="E20" s="34" t="n">
        <f aca="false">E19+E12</f>
        <v>23625225089.5416</v>
      </c>
      <c r="F20" s="34" t="n">
        <f aca="false">F19+F12</f>
        <v>29372287376.8454</v>
      </c>
    </row>
    <row r="21" customFormat="false" ht="15" hidden="false" customHeight="false" outlineLevel="0" collapsed="false">
      <c r="A21" s="12" t="s">
        <v>386</v>
      </c>
      <c r="B21" s="23" t="n">
        <f aca="false">-B20</f>
        <v>-5683014909.09091</v>
      </c>
      <c r="C21" s="23" t="n">
        <f aca="false">-(C20-B20)</f>
        <v>-8360513670.5303</v>
      </c>
      <c r="D21" s="23" t="n">
        <f aca="false">-(D20-C20)</f>
        <v>-4614576877.5272</v>
      </c>
      <c r="E21" s="23" t="n">
        <f aca="false">-(E20-D20)</f>
        <v>-4967119632.39315</v>
      </c>
      <c r="F21" s="23" t="n">
        <f aca="false">-(F20-E20)</f>
        <v>-5747062287.30382</v>
      </c>
    </row>
  </sheetData>
  <mergeCells count="4">
    <mergeCell ref="A1:H1"/>
    <mergeCell ref="A4:H4"/>
    <mergeCell ref="A10:H10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  <col collapsed="false" customWidth="true" hidden="false" outlineLevel="0" max="7" min="7" style="0" width="4"/>
    <col collapsed="false" customWidth="true" hidden="false" outlineLevel="0" max="8" min="8" style="0" width="42"/>
  </cols>
  <sheetData>
    <row r="1" customFormat="false" ht="30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5" t="s">
        <v>354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  <c r="G3" s="5"/>
      <c r="H3" s="5" t="s">
        <v>69</v>
      </c>
    </row>
    <row r="4" customFormat="false" ht="19.5" hidden="false" customHeight="true" outlineLevel="0" collapsed="false">
      <c r="A4" s="14" t="s">
        <v>387</v>
      </c>
      <c r="B4" s="14"/>
      <c r="C4" s="14"/>
      <c r="D4" s="14"/>
      <c r="E4" s="14"/>
      <c r="F4" s="14"/>
      <c r="G4" s="14"/>
      <c r="H4" s="14"/>
    </row>
    <row r="5" customFormat="false" ht="15" hidden="false" customHeight="false" outlineLevel="0" collapsed="false">
      <c r="A5" s="6" t="s">
        <v>388</v>
      </c>
      <c r="B5" s="24" t="n">
        <f aca="false">'4. Portefeuille chantiers'!B23</f>
        <v>12778318181.8182</v>
      </c>
      <c r="C5" s="24" t="n">
        <f aca="false">'4. Portefeuille chantiers'!C23</f>
        <v>41217950000</v>
      </c>
      <c r="D5" s="24" t="n">
        <f aca="false">'4. Portefeuille chantiers'!D23</f>
        <v>64056462937.0629</v>
      </c>
      <c r="E5" s="24" t="n">
        <f aca="false">'4. Portefeuille chantiers'!E23</f>
        <v>93629787412.5874</v>
      </c>
      <c r="F5" s="24" t="n">
        <f aca="false">'4. Portefeuille chantiers'!F23</f>
        <v>126718167832.168</v>
      </c>
    </row>
    <row r="6" customFormat="false" ht="15" hidden="false" customHeight="false" outlineLevel="0" collapsed="false">
      <c r="A6" s="6" t="s">
        <v>389</v>
      </c>
      <c r="B6" s="25" t="n">
        <f aca="false">B5*(1-'2. Hypothèses'!$C$17)</f>
        <v>10989353636.3636</v>
      </c>
      <c r="C6" s="25" t="n">
        <f aca="false">C5*(1-'2. Hypothèses'!$D$17)</f>
        <v>35035257500</v>
      </c>
      <c r="D6" s="25" t="n">
        <f aca="false">D5*(1-'2. Hypothèses'!$E$17)</f>
        <v>53807428867.1329</v>
      </c>
      <c r="E6" s="25" t="n">
        <f aca="false">E5*(1-'2. Hypothèses'!$F$17)</f>
        <v>78649021426.5734</v>
      </c>
      <c r="F6" s="25" t="n">
        <f aca="false">F5*(1-'2. Hypothèses'!$G$17)</f>
        <v>105176079300.699</v>
      </c>
    </row>
    <row r="7" customFormat="false" ht="15" hidden="false" customHeight="false" outlineLevel="0" collapsed="false">
      <c r="A7" s="6" t="s">
        <v>390</v>
      </c>
      <c r="B7" s="20" t="n">
        <f aca="false">'2. Hypothèses'!$C$24</f>
        <v>0.22</v>
      </c>
      <c r="C7" s="20" t="n">
        <f aca="false">'2. Hypothèses'!$D$24</f>
        <v>0.23</v>
      </c>
      <c r="D7" s="20" t="n">
        <f aca="false">'2. Hypothèses'!$E$24</f>
        <v>0.24</v>
      </c>
      <c r="E7" s="20" t="n">
        <f aca="false">'2. Hypothèses'!$F$24</f>
        <v>0.25</v>
      </c>
      <c r="F7" s="20" t="n">
        <f aca="false">'2. Hypothèses'!$G$24</f>
        <v>0.26</v>
      </c>
    </row>
    <row r="8" customFormat="false" ht="15" hidden="false" customHeight="false" outlineLevel="0" collapsed="false">
      <c r="A8" s="12" t="s">
        <v>391</v>
      </c>
      <c r="B8" s="23" t="n">
        <f aca="false">B6*B7</f>
        <v>2417657800</v>
      </c>
      <c r="C8" s="23" t="n">
        <f aca="false">C6*C7</f>
        <v>8058109225</v>
      </c>
      <c r="D8" s="23" t="n">
        <f aca="false">D6*D7</f>
        <v>12913782928.1119</v>
      </c>
      <c r="E8" s="23" t="n">
        <f aca="false">E6*E7</f>
        <v>19662255356.6434</v>
      </c>
      <c r="F8" s="23" t="n">
        <f aca="false">F6*F7</f>
        <v>27345780618.1818</v>
      </c>
    </row>
    <row r="9" customFormat="false" ht="15" hidden="false" customHeight="false" outlineLevel="0" collapsed="false">
      <c r="A9" s="6" t="s">
        <v>392</v>
      </c>
      <c r="B9" s="20" t="n">
        <f aca="false">'2. Hypothèses'!$C$28</f>
        <v>0.08</v>
      </c>
      <c r="C9" s="20" t="n">
        <f aca="false">'2. Hypothèses'!$D$28</f>
        <v>0.09</v>
      </c>
      <c r="D9" s="20" t="n">
        <f aca="false">'2. Hypothèses'!$E$28</f>
        <v>0.1</v>
      </c>
      <c r="E9" s="20" t="n">
        <f aca="false">'2. Hypothèses'!$F$28</f>
        <v>0.1</v>
      </c>
      <c r="F9" s="20" t="n">
        <f aca="false">'2. Hypothèses'!$G$28</f>
        <v>0.1</v>
      </c>
    </row>
    <row r="10" customFormat="false" ht="15" hidden="false" customHeight="false" outlineLevel="0" collapsed="false">
      <c r="A10" s="6" t="s">
        <v>393</v>
      </c>
      <c r="B10" s="28" t="n">
        <f aca="false">B8*B9</f>
        <v>193412624</v>
      </c>
      <c r="C10" s="28" t="n">
        <f aca="false">C8*C9</f>
        <v>725229830.25</v>
      </c>
      <c r="D10" s="28" t="n">
        <f aca="false">D8*D9</f>
        <v>1291378292.81119</v>
      </c>
      <c r="E10" s="28" t="n">
        <f aca="false">E8*E9</f>
        <v>1966225535.66434</v>
      </c>
      <c r="F10" s="28" t="n">
        <f aca="false">F8*F9</f>
        <v>2734578061.81818</v>
      </c>
    </row>
    <row r="11" customFormat="false" ht="15" hidden="false" customHeight="false" outlineLevel="0" collapsed="false">
      <c r="A11" s="6" t="s">
        <v>394</v>
      </c>
      <c r="B11" s="28" t="n">
        <f aca="false">B8*'2. Hypothèses'!$C$31</f>
        <v>120882890</v>
      </c>
      <c r="C11" s="28" t="n">
        <f aca="false">C8*'2. Hypothèses'!$D$31</f>
        <v>402905461.25</v>
      </c>
      <c r="D11" s="28" t="n">
        <f aca="false">D8*'2. Hypothèses'!$E$31</f>
        <v>645689146.405594</v>
      </c>
      <c r="E11" s="28" t="n">
        <f aca="false">E8*'2. Hypothèses'!$F$31</f>
        <v>983112767.832168</v>
      </c>
      <c r="F11" s="28" t="n">
        <f aca="false">F8*'2. Hypothèses'!$G$31</f>
        <v>1367289030.90909</v>
      </c>
    </row>
    <row r="12" customFormat="false" ht="19.5" hidden="false" customHeight="true" outlineLevel="0" collapsed="false">
      <c r="A12" s="14" t="s">
        <v>395</v>
      </c>
      <c r="B12" s="14"/>
      <c r="C12" s="14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6" t="s">
        <v>121</v>
      </c>
      <c r="B13" s="20" t="n">
        <f aca="false">'2. Hypothèses'!$C$29</f>
        <v>0.25</v>
      </c>
      <c r="C13" s="20" t="n">
        <f aca="false">'2. Hypothèses'!$D$29</f>
        <v>0.3</v>
      </c>
      <c r="D13" s="20" t="n">
        <f aca="false">'2. Hypothèses'!$E$29</f>
        <v>0.32</v>
      </c>
      <c r="E13" s="20" t="n">
        <f aca="false">'2. Hypothèses'!$F$29</f>
        <v>0.35</v>
      </c>
      <c r="F13" s="20" t="n">
        <f aca="false">'2. Hypothèses'!$G$29</f>
        <v>0.35</v>
      </c>
    </row>
    <row r="14" customFormat="false" ht="15" hidden="false" customHeight="false" outlineLevel="0" collapsed="false">
      <c r="A14" s="6" t="s">
        <v>396</v>
      </c>
      <c r="B14" s="25" t="n">
        <f aca="false">B5*B13</f>
        <v>3194579545.45455</v>
      </c>
      <c r="C14" s="25" t="n">
        <f aca="false">C5*C13</f>
        <v>12365385000</v>
      </c>
      <c r="D14" s="25" t="n">
        <f aca="false">D5*D13</f>
        <v>20498068139.8601</v>
      </c>
      <c r="E14" s="25" t="n">
        <f aca="false">E5*E13</f>
        <v>32770425594.4056</v>
      </c>
      <c r="F14" s="25" t="n">
        <f aca="false">F5*F13</f>
        <v>44351358741.2587</v>
      </c>
    </row>
    <row r="15" customFormat="false" ht="15" hidden="false" customHeight="false" outlineLevel="0" collapsed="false">
      <c r="A15" s="6" t="s">
        <v>397</v>
      </c>
      <c r="B15" s="20" t="n">
        <f aca="false">'2. Hypothèses'!$C$30</f>
        <v>0.55</v>
      </c>
      <c r="C15" s="20" t="n">
        <f aca="false">'2. Hypothèses'!$D$30</f>
        <v>0.55</v>
      </c>
      <c r="D15" s="20" t="n">
        <f aca="false">'2. Hypothèses'!$E$30</f>
        <v>0.55</v>
      </c>
      <c r="E15" s="20" t="n">
        <f aca="false">'2. Hypothèses'!$F$30</f>
        <v>0.55</v>
      </c>
      <c r="F15" s="20" t="n">
        <f aca="false">'2. Hypothèses'!$G$30</f>
        <v>0.55</v>
      </c>
    </row>
    <row r="16" customFormat="false" ht="15" hidden="false" customHeight="false" outlineLevel="0" collapsed="false">
      <c r="A16" s="12" t="s">
        <v>398</v>
      </c>
      <c r="B16" s="23" t="n">
        <f aca="false">B14*B15</f>
        <v>1757018750</v>
      </c>
      <c r="C16" s="23" t="n">
        <f aca="false">C14*C15</f>
        <v>6800961750</v>
      </c>
      <c r="D16" s="23" t="n">
        <f aca="false">D14*D15</f>
        <v>11273937476.9231</v>
      </c>
      <c r="E16" s="23" t="n">
        <f aca="false">E14*E15</f>
        <v>18023734076.9231</v>
      </c>
      <c r="F16" s="23" t="n">
        <f aca="false">F14*F15</f>
        <v>24393247307.6923</v>
      </c>
    </row>
  </sheetData>
  <mergeCells count="3">
    <mergeCell ref="A1:H1"/>
    <mergeCell ref="A4:H4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  <col collapsed="false" customWidth="true" hidden="false" outlineLevel="0" max="7" min="7" style="0" width="4"/>
    <col collapsed="false" customWidth="true" hidden="false" outlineLevel="0" max="8" min="8" style="0" width="42"/>
  </cols>
  <sheetData>
    <row r="1" customFormat="false" ht="30" hidden="false" customHeight="true" outlineLevel="0" collapsed="false">
      <c r="A1" s="1" t="s">
        <v>399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5" t="s">
        <v>354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  <c r="G3" s="5"/>
      <c r="H3" s="5" t="s">
        <v>69</v>
      </c>
    </row>
    <row r="4" customFormat="false" ht="19.5" hidden="false" customHeight="true" outlineLevel="0" collapsed="false">
      <c r="A4" s="14" t="s">
        <v>400</v>
      </c>
      <c r="B4" s="14"/>
      <c r="C4" s="14"/>
      <c r="D4" s="14"/>
      <c r="E4" s="14"/>
      <c r="F4" s="14"/>
      <c r="G4" s="14"/>
      <c r="H4" s="14"/>
    </row>
    <row r="5" customFormat="false" ht="15" hidden="false" customHeight="false" outlineLevel="0" collapsed="false">
      <c r="A5" s="6" t="s">
        <v>401</v>
      </c>
      <c r="B5" s="25" t="n">
        <f aca="false">'2. Hypothèses'!$C$47</f>
        <v>4500000000</v>
      </c>
      <c r="C5" s="25" t="n">
        <f aca="false">B7</f>
        <v>5300000000</v>
      </c>
      <c r="D5" s="25" t="n">
        <f aca="false">C7</f>
        <v>6500000000</v>
      </c>
      <c r="E5" s="25" t="n">
        <f aca="false">D7</f>
        <v>8000000000</v>
      </c>
      <c r="F5" s="25" t="n">
        <f aca="false">E7</f>
        <v>9500000000</v>
      </c>
    </row>
    <row r="6" customFormat="false" ht="15" hidden="false" customHeight="false" outlineLevel="0" collapsed="false">
      <c r="A6" s="6" t="s">
        <v>402</v>
      </c>
      <c r="B6" s="24" t="n">
        <f aca="false">'2. Hypothèses'!$C$48</f>
        <v>800000000</v>
      </c>
      <c r="C6" s="24" t="n">
        <f aca="false">'2. Hypothèses'!$D$48</f>
        <v>1200000000</v>
      </c>
      <c r="D6" s="24" t="n">
        <f aca="false">'2. Hypothèses'!$E$48</f>
        <v>1500000000</v>
      </c>
      <c r="E6" s="24" t="n">
        <f aca="false">'2. Hypothèses'!$F$48</f>
        <v>1500000000</v>
      </c>
      <c r="F6" s="24" t="n">
        <f aca="false">'2. Hypothèses'!$G$48</f>
        <v>1800000000</v>
      </c>
    </row>
    <row r="7" customFormat="false" ht="15" hidden="false" customHeight="false" outlineLevel="0" collapsed="false">
      <c r="A7" s="12" t="s">
        <v>403</v>
      </c>
      <c r="B7" s="23" t="n">
        <f aca="false">B5+B6</f>
        <v>5300000000</v>
      </c>
      <c r="C7" s="23" t="n">
        <f aca="false">C5+C6</f>
        <v>6500000000</v>
      </c>
      <c r="D7" s="23" t="n">
        <f aca="false">D5+D6</f>
        <v>8000000000</v>
      </c>
      <c r="E7" s="23" t="n">
        <f aca="false">E5+E6</f>
        <v>9500000000</v>
      </c>
      <c r="F7" s="23" t="n">
        <f aca="false">F5+F6</f>
        <v>11300000000</v>
      </c>
    </row>
    <row r="8" customFormat="false" ht="19.5" hidden="false" customHeight="true" outlineLevel="0" collapsed="false">
      <c r="A8" s="14" t="s">
        <v>404</v>
      </c>
      <c r="B8" s="14"/>
      <c r="C8" s="14"/>
      <c r="D8" s="14"/>
      <c r="E8" s="14"/>
      <c r="F8" s="14"/>
      <c r="G8" s="14"/>
      <c r="H8" s="14"/>
    </row>
    <row r="9" customFormat="false" ht="15" hidden="false" customHeight="false" outlineLevel="0" collapsed="false">
      <c r="A9" s="6" t="s">
        <v>405</v>
      </c>
      <c r="B9" s="28" t="n">
        <f aca="false">(B5+B7)/2/'2. Hypothèses'!$C$49</f>
        <v>700000000</v>
      </c>
      <c r="C9" s="28" t="n">
        <f aca="false">(C5+C7)/2/'2. Hypothèses'!$D$49</f>
        <v>842857142.857143</v>
      </c>
      <c r="D9" s="28" t="n">
        <f aca="false">(D5+D7)/2/'2. Hypothèses'!$E$49</f>
        <v>1035714285.71429</v>
      </c>
      <c r="E9" s="28" t="n">
        <f aca="false">(E5+E7)/2/'2. Hypothèses'!$F$49</f>
        <v>1250000000</v>
      </c>
      <c r="F9" s="28" t="n">
        <f aca="false">(F5+F7)/2/'2. Hypothèses'!$G$49</f>
        <v>1485714285.71429</v>
      </c>
    </row>
    <row r="10" customFormat="false" ht="15" hidden="false" customHeight="false" outlineLevel="0" collapsed="false">
      <c r="A10" s="6" t="s">
        <v>406</v>
      </c>
      <c r="B10" s="25" t="n">
        <f aca="false">B9</f>
        <v>700000000</v>
      </c>
      <c r="C10" s="25" t="n">
        <f aca="false">B10+C9</f>
        <v>1542857142.85714</v>
      </c>
      <c r="D10" s="25" t="n">
        <f aca="false">C10+D9</f>
        <v>2578571428.57143</v>
      </c>
      <c r="E10" s="25" t="n">
        <f aca="false">D10+E9</f>
        <v>3828571428.57143</v>
      </c>
      <c r="F10" s="25" t="n">
        <f aca="false">E10+F9</f>
        <v>5314285714.28571</v>
      </c>
    </row>
    <row r="11" customFormat="false" ht="15" hidden="false" customHeight="false" outlineLevel="0" collapsed="false">
      <c r="A11" s="12" t="s">
        <v>407</v>
      </c>
      <c r="B11" s="23" t="n">
        <f aca="false">B7-B10</f>
        <v>4600000000</v>
      </c>
      <c r="C11" s="23" t="n">
        <f aca="false">C7-C10</f>
        <v>4957142857.14286</v>
      </c>
      <c r="D11" s="23" t="n">
        <f aca="false">D7-D10</f>
        <v>5421428571.42857</v>
      </c>
      <c r="E11" s="23" t="n">
        <f aca="false">E7-E10</f>
        <v>5671428571.42857</v>
      </c>
      <c r="F11" s="23" t="n">
        <f aca="false">F7-F10</f>
        <v>5985714285.71429</v>
      </c>
    </row>
    <row r="12" customFormat="false" ht="19.5" hidden="false" customHeight="true" outlineLevel="0" collapsed="false">
      <c r="A12" s="14" t="s">
        <v>408</v>
      </c>
      <c r="B12" s="14"/>
      <c r="C12" s="14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6" t="s">
        <v>409</v>
      </c>
      <c r="B13" s="24" t="n">
        <f aca="false">'2. Hypothèses'!$C$50*12</f>
        <v>1140000000</v>
      </c>
      <c r="C13" s="24" t="n">
        <f aca="false">'2. Hypothèses'!$D$50*12</f>
        <v>1320000000</v>
      </c>
      <c r="D13" s="24" t="n">
        <f aca="false">'2. Hypothèses'!$E$50*12</f>
        <v>1500000000</v>
      </c>
      <c r="E13" s="24" t="n">
        <f aca="false">'2. Hypothèses'!$F$50*12</f>
        <v>1680000000</v>
      </c>
      <c r="F13" s="24" t="n">
        <f aca="false">'2. Hypothèses'!$G$50*12</f>
        <v>1860000000</v>
      </c>
    </row>
    <row r="14" customFormat="false" ht="15" hidden="false" customHeight="false" outlineLevel="0" collapsed="false">
      <c r="A14" s="6" t="s">
        <v>410</v>
      </c>
      <c r="B14" s="22" t="n">
        <f aca="false">'2. Hypothèses'!$C$51</f>
        <v>550000000</v>
      </c>
      <c r="C14" s="22" t="n">
        <f aca="false">'2. Hypothèses'!$D$51</f>
        <v>720000000</v>
      </c>
      <c r="D14" s="22" t="n">
        <f aca="false">'2. Hypothèses'!$E$51</f>
        <v>880000000</v>
      </c>
      <c r="E14" s="22" t="n">
        <f aca="false">'2. Hypothèses'!$F$51</f>
        <v>1020000000</v>
      </c>
      <c r="F14" s="22" t="n">
        <f aca="false">'2. Hypothèses'!$G$51</f>
        <v>1150000000</v>
      </c>
    </row>
    <row r="15" customFormat="false" ht="15" hidden="false" customHeight="false" outlineLevel="0" collapsed="false">
      <c r="A15" s="6" t="s">
        <v>170</v>
      </c>
      <c r="B15" s="20" t="n">
        <f aca="false">'2. Hypothèses'!$C$52</f>
        <v>0.65</v>
      </c>
      <c r="C15" s="20" t="n">
        <f aca="false">'2. Hypothèses'!$D$52</f>
        <v>0.7</v>
      </c>
      <c r="D15" s="20" t="n">
        <f aca="false">'2. Hypothèses'!$E$52</f>
        <v>0.72</v>
      </c>
      <c r="E15" s="20" t="n">
        <f aca="false">'2. Hypothèses'!$F$52</f>
        <v>0.75</v>
      </c>
      <c r="F15" s="20" t="n">
        <f aca="false">'2. Hypothèses'!$G$52</f>
        <v>0.75</v>
      </c>
    </row>
    <row r="16" customFormat="false" ht="15" hidden="false" customHeight="false" outlineLevel="0" collapsed="false">
      <c r="A16" s="33" t="s">
        <v>411</v>
      </c>
      <c r="B16" s="34" t="n">
        <f aca="false">B13+B14</f>
        <v>1690000000</v>
      </c>
      <c r="C16" s="34" t="n">
        <f aca="false">C13+C14</f>
        <v>2040000000</v>
      </c>
      <c r="D16" s="34" t="n">
        <f aca="false">D13+D14</f>
        <v>2380000000</v>
      </c>
      <c r="E16" s="34" t="n">
        <f aca="false">E13+E14</f>
        <v>2700000000</v>
      </c>
      <c r="F16" s="34" t="n">
        <f aca="false">F13+F14</f>
        <v>3010000000</v>
      </c>
    </row>
  </sheetData>
  <mergeCells count="4">
    <mergeCell ref="A1:H1"/>
    <mergeCell ref="A4:H4"/>
    <mergeCell ref="A8:H8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6" min="2" style="0" width="18"/>
    <col collapsed="false" customWidth="true" hidden="false" outlineLevel="0" max="7" min="7" style="0" width="4"/>
    <col collapsed="false" customWidth="true" hidden="false" outlineLevel="0" max="8" min="8" style="0" width="35"/>
  </cols>
  <sheetData>
    <row r="1" customFormat="false" ht="30" hidden="false" customHeight="true" outlineLevel="0" collapsed="false">
      <c r="A1" s="1" t="s">
        <v>412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5" t="s">
        <v>354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  <c r="G3" s="5"/>
      <c r="H3" s="5" t="s">
        <v>69</v>
      </c>
    </row>
    <row r="4" customFormat="false" ht="19.5" hidden="false" customHeight="true" outlineLevel="0" collapsed="false">
      <c r="A4" s="14" t="s">
        <v>172</v>
      </c>
      <c r="B4" s="14"/>
      <c r="C4" s="14"/>
      <c r="D4" s="14"/>
      <c r="E4" s="14"/>
      <c r="F4" s="14"/>
      <c r="G4" s="14"/>
      <c r="H4" s="14"/>
    </row>
    <row r="5" customFormat="false" ht="15" hidden="false" customHeight="false" outlineLevel="0" collapsed="false">
      <c r="A5" s="7" t="s">
        <v>413</v>
      </c>
      <c r="B5" s="24" t="n">
        <f aca="false">'2. Hypothèses'!$C$54*'2. Hypothèses'!$C$55*12</f>
        <v>316800000</v>
      </c>
      <c r="C5" s="24" t="n">
        <f aca="false">'2. Hypothèses'!$D$54*'2. Hypothèses'!$D$55*12</f>
        <v>386400000</v>
      </c>
      <c r="D5" s="24" t="n">
        <f aca="false">'2. Hypothèses'!$E$54*'2. Hypothèses'!$E$55*12</f>
        <v>460800000</v>
      </c>
      <c r="E5" s="24" t="n">
        <f aca="false">'2. Hypothèses'!$F$54*'2. Hypothèses'!$F$55*12</f>
        <v>540000000</v>
      </c>
      <c r="F5" s="24" t="n">
        <f aca="false">'2. Hypothèses'!$G$54*'2. Hypothèses'!$G$55*12</f>
        <v>624000000</v>
      </c>
    </row>
    <row r="6" customFormat="false" ht="15" hidden="false" customHeight="false" outlineLevel="0" collapsed="false">
      <c r="A6" s="7" t="s">
        <v>414</v>
      </c>
      <c r="B6" s="24" t="n">
        <f aca="false">'2. Hypothèses'!$C$56*'2. Hypothèses'!$C$57*12</f>
        <v>313200000</v>
      </c>
      <c r="C6" s="24" t="n">
        <f aca="false">'2. Hypothèses'!$D$56*'2. Hypothèses'!$D$57*12</f>
        <v>396000000</v>
      </c>
      <c r="D6" s="24" t="n">
        <f aca="false">'2. Hypothèses'!$E$56*'2. Hypothèses'!$E$57*12</f>
        <v>483600000</v>
      </c>
      <c r="E6" s="24" t="n">
        <f aca="false">'2. Hypothèses'!$F$56*'2. Hypothèses'!$F$57*12</f>
        <v>576000000</v>
      </c>
      <c r="F6" s="24" t="n">
        <f aca="false">'2. Hypothèses'!$G$56*'2. Hypothèses'!$G$57*12</f>
        <v>633600000</v>
      </c>
    </row>
    <row r="7" customFormat="false" ht="15" hidden="false" customHeight="false" outlineLevel="0" collapsed="false">
      <c r="A7" s="7" t="s">
        <v>415</v>
      </c>
      <c r="B7" s="24" t="n">
        <f aca="false">'2. Hypothèses'!$C$58*'2. Hypothèses'!$C$59*12</f>
        <v>480000000</v>
      </c>
      <c r="C7" s="24" t="n">
        <f aca="false">'2. Hypothèses'!$D$58*'2. Hypothèses'!$D$59*12</f>
        <v>624000000</v>
      </c>
      <c r="D7" s="24" t="n">
        <f aca="false">'2. Hypothèses'!$E$58*'2. Hypothèses'!$E$59*12</f>
        <v>777600000</v>
      </c>
      <c r="E7" s="24" t="n">
        <f aca="false">'2. Hypothèses'!$F$58*'2. Hypothèses'!$F$59*12</f>
        <v>940800000</v>
      </c>
      <c r="F7" s="24" t="n">
        <f aca="false">'2. Hypothèses'!$G$58*'2. Hypothèses'!$G$59*12</f>
        <v>1078800000</v>
      </c>
    </row>
    <row r="8" customFormat="false" ht="15" hidden="false" customHeight="false" outlineLevel="0" collapsed="false">
      <c r="A8" s="7" t="s">
        <v>416</v>
      </c>
      <c r="B8" s="24" t="n">
        <f aca="false">'2. Hypothèses'!$C$60*'2. Hypothèses'!$C$61*12</f>
        <v>250800000</v>
      </c>
      <c r="C8" s="24" t="n">
        <f aca="false">'2. Hypothèses'!$D$60*'2. Hypothèses'!$D$61*12</f>
        <v>312000000</v>
      </c>
      <c r="D8" s="24" t="n">
        <f aca="false">'2. Hypothèses'!$E$60*'2. Hypothèses'!$E$61*12</f>
        <v>378000000</v>
      </c>
      <c r="E8" s="24" t="n">
        <f aca="false">'2. Hypothèses'!$F$60*'2. Hypothèses'!$F$61*12</f>
        <v>448800000</v>
      </c>
      <c r="F8" s="24" t="n">
        <f aca="false">'2. Hypothèses'!$G$60*'2. Hypothèses'!$G$61*12</f>
        <v>524400000</v>
      </c>
    </row>
    <row r="9" customFormat="false" ht="15" hidden="false" customHeight="false" outlineLevel="0" collapsed="false">
      <c r="A9" s="12" t="s">
        <v>417</v>
      </c>
      <c r="B9" s="23" t="n">
        <f aca="false">B5+B6+B7+B8</f>
        <v>1360800000</v>
      </c>
      <c r="C9" s="23" t="n">
        <f aca="false">C5+C6+C7+C8</f>
        <v>1718400000</v>
      </c>
      <c r="D9" s="23" t="n">
        <f aca="false">D5+D6+D7+D8</f>
        <v>2100000000</v>
      </c>
      <c r="E9" s="23" t="n">
        <f aca="false">E5+E6+E7+E8</f>
        <v>2505600000</v>
      </c>
      <c r="F9" s="23" t="n">
        <f aca="false">F5+F6+F7+F8</f>
        <v>2860800000</v>
      </c>
    </row>
    <row r="10" customFormat="false" ht="19.5" hidden="false" customHeight="true" outlineLevel="0" collapsed="false">
      <c r="A10" s="14" t="s">
        <v>418</v>
      </c>
      <c r="B10" s="14"/>
      <c r="C10" s="14"/>
      <c r="D10" s="14"/>
      <c r="E10" s="14"/>
      <c r="F10" s="14"/>
      <c r="G10" s="14"/>
      <c r="H10" s="14"/>
    </row>
    <row r="11" customFormat="false" ht="15" hidden="false" customHeight="false" outlineLevel="0" collapsed="false">
      <c r="A11" s="7" t="s">
        <v>419</v>
      </c>
      <c r="B11" s="22" t="n">
        <f aca="false">'2. Hypothèses'!$C$63*12</f>
        <v>264000000</v>
      </c>
      <c r="C11" s="22" t="n">
        <f aca="false">'2. Hypothèses'!$D$63*12</f>
        <v>288000000</v>
      </c>
      <c r="D11" s="22" t="n">
        <f aca="false">'2. Hypothèses'!$E$63*12</f>
        <v>312000000</v>
      </c>
      <c r="E11" s="22" t="n">
        <f aca="false">'2. Hypothèses'!$F$63*12</f>
        <v>336000000</v>
      </c>
      <c r="F11" s="22" t="n">
        <f aca="false">'2. Hypothèses'!$G$63*12</f>
        <v>360000000</v>
      </c>
    </row>
    <row r="12" customFormat="false" ht="15" hidden="false" customHeight="false" outlineLevel="0" collapsed="false">
      <c r="A12" s="7" t="s">
        <v>420</v>
      </c>
      <c r="B12" s="22" t="n">
        <f aca="false">'2. Hypothèses'!$C$64</f>
        <v>180000000</v>
      </c>
      <c r="C12" s="22" t="n">
        <f aca="false">'2. Hypothèses'!$D$64</f>
        <v>210000000</v>
      </c>
      <c r="D12" s="22" t="n">
        <f aca="false">'2. Hypothèses'!$E$64</f>
        <v>240000000</v>
      </c>
      <c r="E12" s="22" t="n">
        <f aca="false">'2. Hypothèses'!$F$64</f>
        <v>270000000</v>
      </c>
      <c r="F12" s="22" t="n">
        <f aca="false">'2. Hypothèses'!$G$64</f>
        <v>300000000</v>
      </c>
    </row>
    <row r="13" customFormat="false" ht="15" hidden="false" customHeight="false" outlineLevel="0" collapsed="false">
      <c r="A13" s="7" t="s">
        <v>421</v>
      </c>
      <c r="B13" s="22" t="n">
        <f aca="false">'2. Hypothèses'!$C$65*12</f>
        <v>102000000</v>
      </c>
      <c r="C13" s="22" t="n">
        <f aca="false">'2. Hypothèses'!$D$65*12</f>
        <v>114000000</v>
      </c>
      <c r="D13" s="22" t="n">
        <f aca="false">'2. Hypothèses'!$E$65*12</f>
        <v>132000000</v>
      </c>
      <c r="E13" s="22" t="n">
        <f aca="false">'2. Hypothèses'!$F$65*12</f>
        <v>150000000</v>
      </c>
      <c r="F13" s="22" t="n">
        <f aca="false">'2. Hypothèses'!$G$65*12</f>
        <v>168000000</v>
      </c>
    </row>
    <row r="14" customFormat="false" ht="15" hidden="false" customHeight="false" outlineLevel="0" collapsed="false">
      <c r="A14" s="7" t="s">
        <v>422</v>
      </c>
      <c r="B14" s="22" t="n">
        <f aca="false">'2. Hypothèses'!$C$66</f>
        <v>95000000</v>
      </c>
      <c r="C14" s="22" t="n">
        <f aca="false">'2. Hypothèses'!$D$66</f>
        <v>110000000</v>
      </c>
      <c r="D14" s="22" t="n">
        <f aca="false">'2. Hypothèses'!$E$66</f>
        <v>125000000</v>
      </c>
      <c r="E14" s="22" t="n">
        <f aca="false">'2. Hypothèses'!$F$66</f>
        <v>140000000</v>
      </c>
      <c r="F14" s="22" t="n">
        <f aca="false">'2. Hypothèses'!$G$66</f>
        <v>155000000</v>
      </c>
    </row>
    <row r="15" customFormat="false" ht="15" hidden="false" customHeight="false" outlineLevel="0" collapsed="false">
      <c r="A15" s="7" t="s">
        <v>423</v>
      </c>
      <c r="B15" s="22" t="n">
        <f aca="false">'2. Hypothèses'!$C$67</f>
        <v>120000000</v>
      </c>
      <c r="C15" s="22" t="n">
        <f aca="false">'2. Hypothèses'!$D$67</f>
        <v>145000000</v>
      </c>
      <c r="D15" s="22" t="n">
        <f aca="false">'2. Hypothèses'!$E$67</f>
        <v>170000000</v>
      </c>
      <c r="E15" s="22" t="n">
        <f aca="false">'2. Hypothèses'!$F$67</f>
        <v>195000000</v>
      </c>
      <c r="F15" s="22" t="n">
        <f aca="false">'2. Hypothèses'!$G$67</f>
        <v>220000000</v>
      </c>
    </row>
    <row r="16" customFormat="false" ht="15" hidden="false" customHeight="false" outlineLevel="0" collapsed="false">
      <c r="A16" s="7" t="s">
        <v>424</v>
      </c>
      <c r="B16" s="22" t="n">
        <f aca="false">'2. Hypothèses'!$C$68</f>
        <v>65000000</v>
      </c>
      <c r="C16" s="22" t="n">
        <f aca="false">'2. Hypothèses'!$D$68</f>
        <v>75000000</v>
      </c>
      <c r="D16" s="22" t="n">
        <f aca="false">'2. Hypothèses'!$E$68</f>
        <v>90000000</v>
      </c>
      <c r="E16" s="22" t="n">
        <f aca="false">'2. Hypothèses'!$F$68</f>
        <v>105000000</v>
      </c>
      <c r="F16" s="22" t="n">
        <f aca="false">'2. Hypothèses'!$G$68</f>
        <v>120000000</v>
      </c>
    </row>
    <row r="17" customFormat="false" ht="15" hidden="false" customHeight="false" outlineLevel="0" collapsed="false">
      <c r="A17" s="7" t="s">
        <v>425</v>
      </c>
      <c r="B17" s="22" t="n">
        <f aca="false">'2. Hypothèses'!$C$69*12</f>
        <v>144000000</v>
      </c>
      <c r="C17" s="22" t="n">
        <f aca="false">'2. Hypothèses'!$D$69*12</f>
        <v>168000000</v>
      </c>
      <c r="D17" s="22" t="n">
        <f aca="false">'2. Hypothèses'!$E$69*12</f>
        <v>192000000</v>
      </c>
      <c r="E17" s="22" t="n">
        <f aca="false">'2. Hypothèses'!$F$69*12</f>
        <v>216000000</v>
      </c>
      <c r="F17" s="22" t="n">
        <f aca="false">'2. Hypothèses'!$G$69*12</f>
        <v>240000000</v>
      </c>
    </row>
    <row r="18" customFormat="false" ht="15" hidden="false" customHeight="false" outlineLevel="0" collapsed="false">
      <c r="A18" s="12" t="s">
        <v>426</v>
      </c>
      <c r="B18" s="23" t="n">
        <f aca="false">B11+B12+B13+B14+B15+B16+B17</f>
        <v>970000000</v>
      </c>
      <c r="C18" s="23" t="n">
        <f aca="false">C11+C12+C13+C14+C15+C16+C17</f>
        <v>1110000000</v>
      </c>
      <c r="D18" s="23" t="n">
        <f aca="false">D11+D12+D13+D14+D15+D16+D17</f>
        <v>1261000000</v>
      </c>
      <c r="E18" s="23" t="n">
        <f aca="false">E11+E12+E13+E14+E15+E16+E17</f>
        <v>1412000000</v>
      </c>
      <c r="F18" s="23" t="n">
        <f aca="false">F11+F12+F13+F14+F15+F16+F17</f>
        <v>1563000000</v>
      </c>
    </row>
    <row r="19" customFormat="false" ht="19.5" hidden="false" customHeight="true" outlineLevel="0" collapsed="false">
      <c r="A19" s="14" t="s">
        <v>427</v>
      </c>
      <c r="B19" s="14"/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7" t="s">
        <v>428</v>
      </c>
      <c r="B20" s="22" t="n">
        <f aca="false">'3. Pipeline &amp; Backlog'!B17</f>
        <v>126000000</v>
      </c>
      <c r="C20" s="22" t="n">
        <f aca="false">'3. Pipeline &amp; Backlog'!C17</f>
        <v>168000000</v>
      </c>
      <c r="D20" s="22" t="n">
        <f aca="false">'3. Pipeline &amp; Backlog'!D17</f>
        <v>218400000</v>
      </c>
      <c r="E20" s="22" t="n">
        <f aca="false">'3. Pipeline &amp; Backlog'!E17</f>
        <v>264000000</v>
      </c>
      <c r="F20" s="22" t="n">
        <f aca="false">'3. Pipeline &amp; Backlog'!F17</f>
        <v>319000000</v>
      </c>
    </row>
    <row r="21" customFormat="false" ht="15" hidden="false" customHeight="false" outlineLevel="0" collapsed="false">
      <c r="A21" s="33" t="s">
        <v>429</v>
      </c>
      <c r="B21" s="34" t="n">
        <f aca="false">B9+B18+B20</f>
        <v>2456800000</v>
      </c>
      <c r="C21" s="34" t="n">
        <f aca="false">C9+C18+C20</f>
        <v>2996400000</v>
      </c>
      <c r="D21" s="34" t="n">
        <f aca="false">D9+D18+D20</f>
        <v>3579400000</v>
      </c>
      <c r="E21" s="34" t="n">
        <f aca="false">E9+E18+E20</f>
        <v>4181600000</v>
      </c>
      <c r="F21" s="34" t="n">
        <f aca="false">F9+F18+F20</f>
        <v>4742800000</v>
      </c>
    </row>
  </sheetData>
  <mergeCells count="4">
    <mergeCell ref="A1:H1"/>
    <mergeCell ref="A4:H4"/>
    <mergeCell ref="A10:H10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  <col collapsed="false" customWidth="true" hidden="false" outlineLevel="0" max="7" min="7" style="0" width="4"/>
    <col collapsed="false" customWidth="true" hidden="false" outlineLevel="0" max="8" min="8" style="0" width="35"/>
  </cols>
  <sheetData>
    <row r="1" customFormat="false" ht="30" hidden="false" customHeight="true" outlineLevel="0" collapsed="false">
      <c r="A1" s="1" t="s">
        <v>430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5" t="s">
        <v>354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  <c r="G3" s="5"/>
      <c r="H3" s="5" t="s">
        <v>69</v>
      </c>
    </row>
    <row r="4" customFormat="false" ht="19.5" hidden="false" customHeight="true" outlineLevel="0" collapsed="false">
      <c r="A4" s="14" t="s">
        <v>431</v>
      </c>
      <c r="B4" s="14"/>
      <c r="C4" s="14"/>
      <c r="D4" s="14"/>
      <c r="E4" s="14"/>
      <c r="F4" s="14"/>
      <c r="G4" s="14"/>
      <c r="H4" s="14"/>
    </row>
    <row r="5" customFormat="false" ht="15" hidden="false" customHeight="false" outlineLevel="0" collapsed="false">
      <c r="A5" s="7" t="s">
        <v>432</v>
      </c>
      <c r="B5" s="24" t="n">
        <f aca="false">'2. Hypothèses'!$C$48</f>
        <v>800000000</v>
      </c>
      <c r="C5" s="24" t="n">
        <f aca="false">'2. Hypothèses'!$D$48</f>
        <v>1200000000</v>
      </c>
      <c r="D5" s="24" t="n">
        <f aca="false">'2. Hypothèses'!$E$48</f>
        <v>1500000000</v>
      </c>
      <c r="E5" s="24" t="n">
        <f aca="false">'2. Hypothèses'!$F$48</f>
        <v>1500000000</v>
      </c>
      <c r="F5" s="24" t="n">
        <f aca="false">'2. Hypothèses'!$G$48</f>
        <v>1800000000</v>
      </c>
    </row>
    <row r="6" customFormat="false" ht="15" hidden="false" customHeight="false" outlineLevel="0" collapsed="false">
      <c r="A6" s="7" t="s">
        <v>433</v>
      </c>
      <c r="B6" s="29" t="n">
        <v>120000000</v>
      </c>
      <c r="C6" s="29" t="n">
        <v>80000000</v>
      </c>
      <c r="D6" s="29" t="n">
        <v>100000000</v>
      </c>
      <c r="E6" s="29" t="n">
        <v>90000000</v>
      </c>
      <c r="F6" s="29" t="n">
        <v>110000000</v>
      </c>
    </row>
    <row r="7" customFormat="false" ht="15" hidden="false" customHeight="false" outlineLevel="0" collapsed="false">
      <c r="A7" s="7" t="s">
        <v>434</v>
      </c>
      <c r="B7" s="29" t="n">
        <v>150000000</v>
      </c>
      <c r="C7" s="29" t="n">
        <v>80000000</v>
      </c>
      <c r="D7" s="29" t="n">
        <v>90000000</v>
      </c>
      <c r="E7" s="29" t="n">
        <v>100000000</v>
      </c>
      <c r="F7" s="29" t="n">
        <v>110000000</v>
      </c>
    </row>
    <row r="8" customFormat="false" ht="15" hidden="false" customHeight="false" outlineLevel="0" collapsed="false">
      <c r="A8" s="7" t="s">
        <v>435</v>
      </c>
      <c r="B8" s="29" t="n">
        <v>180000000</v>
      </c>
      <c r="C8" s="29" t="n">
        <v>150000000</v>
      </c>
      <c r="D8" s="29" t="n">
        <v>180000000</v>
      </c>
      <c r="E8" s="29" t="n">
        <v>200000000</v>
      </c>
      <c r="F8" s="29" t="n">
        <v>220000000</v>
      </c>
    </row>
    <row r="9" customFormat="false" ht="15" hidden="false" customHeight="false" outlineLevel="0" collapsed="false">
      <c r="A9" s="12" t="s">
        <v>436</v>
      </c>
      <c r="B9" s="23" t="n">
        <f aca="false">B5+B6+B7+B8</f>
        <v>1250000000</v>
      </c>
      <c r="C9" s="23" t="n">
        <f aca="false">C5+C6+C7+C8</f>
        <v>1510000000</v>
      </c>
      <c r="D9" s="23" t="n">
        <f aca="false">D5+D6+D7+D8</f>
        <v>1870000000</v>
      </c>
      <c r="E9" s="23" t="n">
        <f aca="false">E5+E6+E7+E8</f>
        <v>1890000000</v>
      </c>
      <c r="F9" s="23" t="n">
        <f aca="false">F5+F6+F7+F8</f>
        <v>2240000000</v>
      </c>
    </row>
    <row r="10" customFormat="false" ht="19.5" hidden="false" customHeight="true" outlineLevel="0" collapsed="false">
      <c r="A10" s="14" t="s">
        <v>437</v>
      </c>
      <c r="B10" s="14"/>
      <c r="C10" s="14"/>
      <c r="D10" s="14"/>
      <c r="E10" s="14"/>
      <c r="F10" s="14"/>
      <c r="G10" s="14"/>
      <c r="H10" s="14"/>
    </row>
    <row r="11" customFormat="false" ht="15" hidden="false" customHeight="false" outlineLevel="0" collapsed="false">
      <c r="A11" s="7" t="s">
        <v>438</v>
      </c>
      <c r="B11" s="28" t="n">
        <f aca="false">B5/7</f>
        <v>114285714.285714</v>
      </c>
      <c r="C11" s="28" t="n">
        <f aca="false">SUM(B5:C5)/7</f>
        <v>285714285.714286</v>
      </c>
      <c r="D11" s="28" t="n">
        <f aca="false">SUM(B5:D5)/7</f>
        <v>500000000</v>
      </c>
      <c r="E11" s="28" t="n">
        <f aca="false">SUM(B5:E5)/7</f>
        <v>714285714.285714</v>
      </c>
      <c r="F11" s="28" t="n">
        <f aca="false">SUM(B5:F5)/7</f>
        <v>971428571.428572</v>
      </c>
    </row>
    <row r="12" customFormat="false" ht="15" hidden="false" customHeight="false" outlineLevel="0" collapsed="false">
      <c r="A12" s="7" t="s">
        <v>439</v>
      </c>
      <c r="B12" s="28" t="n">
        <f aca="false">B6/5</f>
        <v>24000000</v>
      </c>
      <c r="C12" s="28" t="n">
        <f aca="false">SUM(B6:C6)/5</f>
        <v>40000000</v>
      </c>
      <c r="D12" s="28" t="n">
        <f aca="false">SUM(B6:D6)/5</f>
        <v>60000000</v>
      </c>
      <c r="E12" s="28" t="n">
        <f aca="false">SUM(B6:E6)/5</f>
        <v>78000000</v>
      </c>
      <c r="F12" s="28" t="n">
        <f aca="false">SUM(B6:F6)/5</f>
        <v>100000000</v>
      </c>
    </row>
    <row r="13" customFormat="false" ht="15" hidden="false" customHeight="false" outlineLevel="0" collapsed="false">
      <c r="A13" s="7" t="s">
        <v>440</v>
      </c>
      <c r="B13" s="28" t="n">
        <f aca="false">B7/4</f>
        <v>37500000</v>
      </c>
      <c r="C13" s="28" t="n">
        <f aca="false">SUM(B7:C7)/4</f>
        <v>57500000</v>
      </c>
      <c r="D13" s="28" t="n">
        <f aca="false">SUM(B7:D7)/4</f>
        <v>80000000</v>
      </c>
      <c r="E13" s="28" t="n">
        <f aca="false">SUM(B7:E7)/4</f>
        <v>105000000</v>
      </c>
      <c r="F13" s="28" t="n">
        <f aca="false">SUM(B7:F7)/4</f>
        <v>132500000</v>
      </c>
    </row>
    <row r="14" customFormat="false" ht="15" hidden="false" customHeight="false" outlineLevel="0" collapsed="false">
      <c r="A14" s="7" t="s">
        <v>441</v>
      </c>
      <c r="B14" s="28" t="n">
        <f aca="false">B8/5</f>
        <v>36000000</v>
      </c>
      <c r="C14" s="28" t="n">
        <f aca="false">SUM(B8:C8)/5</f>
        <v>66000000</v>
      </c>
      <c r="D14" s="28" t="n">
        <f aca="false">SUM(B8:D8)/5</f>
        <v>102000000</v>
      </c>
      <c r="E14" s="28" t="n">
        <f aca="false">SUM(B8:E8)/5</f>
        <v>142000000</v>
      </c>
      <c r="F14" s="28" t="n">
        <f aca="false">SUM(B8:F8)/5</f>
        <v>186000000</v>
      </c>
    </row>
    <row r="15" customFormat="false" ht="15" hidden="false" customHeight="false" outlineLevel="0" collapsed="false">
      <c r="A15" s="12" t="s">
        <v>442</v>
      </c>
      <c r="B15" s="35" t="n">
        <f aca="false">B12+B13+B14</f>
        <v>97500000</v>
      </c>
      <c r="C15" s="35" t="n">
        <f aca="false">C12+C13+C14</f>
        <v>163500000</v>
      </c>
      <c r="D15" s="35" t="n">
        <f aca="false">D12+D13+D14</f>
        <v>242000000</v>
      </c>
      <c r="E15" s="35" t="n">
        <f aca="false">E12+E13+E14</f>
        <v>325000000</v>
      </c>
      <c r="F15" s="35" t="n">
        <f aca="false">F12+F13+F14</f>
        <v>418500000</v>
      </c>
    </row>
    <row r="16" customFormat="false" ht="15" hidden="false" customHeight="false" outlineLevel="0" collapsed="false">
      <c r="A16" s="7" t="s">
        <v>443</v>
      </c>
      <c r="B16" s="22" t="n">
        <f aca="false">'8. Parc matériel'!B9</f>
        <v>700000000</v>
      </c>
      <c r="C16" s="22" t="n">
        <f aca="false">'8. Parc matériel'!C9</f>
        <v>842857142.857143</v>
      </c>
      <c r="D16" s="22" t="n">
        <f aca="false">'8. Parc matériel'!D9</f>
        <v>1035714285.71429</v>
      </c>
      <c r="E16" s="22" t="n">
        <f aca="false">'8. Parc matériel'!E9</f>
        <v>1250000000</v>
      </c>
      <c r="F16" s="22" t="n">
        <f aca="false">'8. Parc matériel'!F9</f>
        <v>1485714285.71429</v>
      </c>
    </row>
    <row r="17" customFormat="false" ht="15" hidden="false" customHeight="false" outlineLevel="0" collapsed="false">
      <c r="A17" s="33" t="s">
        <v>444</v>
      </c>
      <c r="B17" s="34" t="n">
        <f aca="false">B15+B16</f>
        <v>797500000</v>
      </c>
      <c r="C17" s="34" t="n">
        <f aca="false">C15+C16</f>
        <v>1006357142.85714</v>
      </c>
      <c r="D17" s="34" t="n">
        <f aca="false">D15+D16</f>
        <v>1277714285.71429</v>
      </c>
      <c r="E17" s="34" t="n">
        <f aca="false">E15+E16</f>
        <v>1575000000</v>
      </c>
      <c r="F17" s="34" t="n">
        <f aca="false">F15+F16</f>
        <v>1904214285.71429</v>
      </c>
    </row>
  </sheetData>
  <mergeCells count="3">
    <mergeCell ref="A1:H1"/>
    <mergeCell ref="A4:H4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6" min="2" style="0" width="18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445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5" t="s">
        <v>354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  <c r="G3" s="5"/>
      <c r="H3" s="5" t="s">
        <v>69</v>
      </c>
    </row>
    <row r="4" customFormat="false" ht="19.5" hidden="false" customHeight="true" outlineLevel="0" collapsed="false">
      <c r="A4" s="14" t="s">
        <v>446</v>
      </c>
      <c r="B4" s="14"/>
      <c r="C4" s="14"/>
      <c r="D4" s="14"/>
      <c r="E4" s="14"/>
      <c r="F4" s="14"/>
      <c r="G4" s="14"/>
      <c r="H4" s="14"/>
    </row>
    <row r="5" customFormat="false" ht="15" hidden="false" customHeight="false" outlineLevel="0" collapsed="false">
      <c r="A5" s="6" t="s">
        <v>232</v>
      </c>
      <c r="B5" s="24" t="n">
        <f aca="false">'4. Portefeuille chantiers'!B23</f>
        <v>12778318181.8182</v>
      </c>
      <c r="C5" s="24" t="n">
        <f aca="false">'4. Portefeuille chantiers'!C23</f>
        <v>41217950000</v>
      </c>
      <c r="D5" s="24" t="n">
        <f aca="false">'4. Portefeuille chantiers'!D23</f>
        <v>64056462937.0629</v>
      </c>
      <c r="E5" s="24" t="n">
        <f aca="false">'4. Portefeuille chantiers'!E23</f>
        <v>93629787412.5874</v>
      </c>
      <c r="F5" s="24" t="n">
        <f aca="false">'4. Portefeuille chantiers'!F23</f>
        <v>126718167832.168</v>
      </c>
    </row>
    <row r="6" customFormat="false" ht="19.5" hidden="false" customHeight="true" outlineLevel="0" collapsed="false">
      <c r="A6" s="14" t="s">
        <v>447</v>
      </c>
      <c r="B6" s="14"/>
      <c r="C6" s="14"/>
      <c r="D6" s="14"/>
      <c r="E6" s="14"/>
      <c r="F6" s="14"/>
      <c r="G6" s="14"/>
      <c r="H6" s="14"/>
    </row>
    <row r="7" customFormat="false" ht="15" hidden="false" customHeight="false" outlineLevel="0" collapsed="false">
      <c r="A7" s="7" t="s">
        <v>448</v>
      </c>
      <c r="B7" s="25" t="n">
        <f aca="false">-B5*(1-'2. Hypothèses'!$C$17)*'2. Hypothèses'!$C$22</f>
        <v>-3956167309.09091</v>
      </c>
      <c r="C7" s="25" t="n">
        <f aca="false">-C5*(1-'2. Hypothèses'!$D$17)*'2. Hypothèses'!$D$22</f>
        <v>-12612692700</v>
      </c>
      <c r="D7" s="25" t="n">
        <f aca="false">-D5*(1-'2. Hypothèses'!$E$17)*'2. Hypothèses'!$E$22</f>
        <v>-18832600103.4965</v>
      </c>
      <c r="E7" s="25" t="n">
        <f aca="false">-E5*(1-'2. Hypothèses'!$F$17)*'2. Hypothèses'!$F$22</f>
        <v>-27527157499.3007</v>
      </c>
      <c r="F7" s="25" t="n">
        <f aca="false">-F5*(1-'2. Hypothèses'!$G$17)*'2. Hypothèses'!$G$22</f>
        <v>-36811627755.2448</v>
      </c>
    </row>
    <row r="8" customFormat="false" ht="15" hidden="false" customHeight="false" outlineLevel="0" collapsed="false">
      <c r="A8" s="7" t="s">
        <v>449</v>
      </c>
      <c r="B8" s="25" t="n">
        <f aca="false">-B5*(1-'2. Hypothèses'!$C$17)*'2. Hypothèses'!$C$23</f>
        <v>-2417657800</v>
      </c>
      <c r="C8" s="25" t="n">
        <f aca="false">-C5*(1-'2. Hypothèses'!$D$17)*'2. Hypothèses'!$D$23</f>
        <v>-7707756650</v>
      </c>
      <c r="D8" s="25" t="n">
        <f aca="false">-D5*(1-'2. Hypothèses'!$E$17)*'2. Hypothèses'!$E$23</f>
        <v>-11299560062.0979</v>
      </c>
      <c r="E8" s="25" t="n">
        <f aca="false">-E5*(1-'2. Hypothèses'!$F$17)*'2. Hypothèses'!$F$23</f>
        <v>-16516294499.5804</v>
      </c>
      <c r="F8" s="25" t="n">
        <f aca="false">-F5*(1-'2. Hypothèses'!$G$17)*'2. Hypothèses'!$G$23</f>
        <v>-21035215860.1399</v>
      </c>
    </row>
    <row r="9" customFormat="false" ht="15" hidden="false" customHeight="false" outlineLevel="0" collapsed="false">
      <c r="A9" s="7" t="s">
        <v>450</v>
      </c>
      <c r="B9" s="24" t="n">
        <f aca="false">-'7. Sous-traitance &amp; cotraitance'!B8</f>
        <v>-2417657800</v>
      </c>
      <c r="C9" s="24" t="n">
        <f aca="false">-'7. Sous-traitance &amp; cotraitance'!C8</f>
        <v>-8058109225</v>
      </c>
      <c r="D9" s="24" t="n">
        <f aca="false">-'7. Sous-traitance &amp; cotraitance'!D8</f>
        <v>-12913782928.1119</v>
      </c>
      <c r="E9" s="24" t="n">
        <f aca="false">-'7. Sous-traitance &amp; cotraitance'!E8</f>
        <v>-19662255356.6434</v>
      </c>
      <c r="F9" s="24" t="n">
        <f aca="false">-'7. Sous-traitance &amp; cotraitance'!F8</f>
        <v>-27345780618.1818</v>
      </c>
    </row>
    <row r="10" customFormat="false" ht="15" hidden="false" customHeight="false" outlineLevel="0" collapsed="false">
      <c r="A10" s="7" t="s">
        <v>451</v>
      </c>
      <c r="B10" s="24" t="n">
        <f aca="false">-'8. Parc matériel'!B16</f>
        <v>-1690000000</v>
      </c>
      <c r="C10" s="24" t="n">
        <f aca="false">-'8. Parc matériel'!C16</f>
        <v>-2040000000</v>
      </c>
      <c r="D10" s="24" t="n">
        <f aca="false">-'8. Parc matériel'!D16</f>
        <v>-2380000000</v>
      </c>
      <c r="E10" s="24" t="n">
        <f aca="false">-'8. Parc matériel'!E16</f>
        <v>-2700000000</v>
      </c>
      <c r="F10" s="24" t="n">
        <f aca="false">-'8. Parc matériel'!F16</f>
        <v>-3010000000</v>
      </c>
    </row>
    <row r="11" customFormat="false" ht="15" hidden="false" customHeight="false" outlineLevel="0" collapsed="false">
      <c r="A11" s="7" t="s">
        <v>452</v>
      </c>
      <c r="B11" s="25" t="n">
        <f aca="false">-B5*(1-'2. Hypothèses'!$C$17)*'2. Hypothèses'!$C$26</f>
        <v>-1098935363.63636</v>
      </c>
      <c r="C11" s="25" t="n">
        <f aca="false">-C5*(1-'2. Hypothèses'!$D$17)*'2. Hypothèses'!$D$26</f>
        <v>-3153173175</v>
      </c>
      <c r="D11" s="25" t="n">
        <f aca="false">-D5*(1-'2. Hypothèses'!$E$17)*'2. Hypothèses'!$E$26</f>
        <v>-4842668598.04196</v>
      </c>
      <c r="E11" s="25" t="n">
        <f aca="false">-E5*(1-'2. Hypothèses'!$F$17)*'2. Hypothèses'!$F$26</f>
        <v>-6291921714.12587</v>
      </c>
      <c r="F11" s="25" t="n">
        <f aca="false">-F5*(1-'2. Hypothèses'!$G$17)*'2. Hypothèses'!$G$26</f>
        <v>-7362325551.04895</v>
      </c>
    </row>
    <row r="12" customFormat="false" ht="15" hidden="false" customHeight="false" outlineLevel="0" collapsed="false">
      <c r="A12" s="33" t="s">
        <v>453</v>
      </c>
      <c r="B12" s="34" t="n">
        <f aca="false">B5+B7+B8+B9+B10+B11</f>
        <v>1197899909.09091</v>
      </c>
      <c r="C12" s="34" t="n">
        <f aca="false">C5+C7+C8+C9+C10+C11</f>
        <v>7646218250</v>
      </c>
      <c r="D12" s="34" t="n">
        <f aca="false">D5+D7+D8+D9+D10+D11</f>
        <v>13787851245.3147</v>
      </c>
      <c r="E12" s="34" t="n">
        <f aca="false">E5+E7+E8+E9+E10+E11</f>
        <v>20932158342.9371</v>
      </c>
      <c r="F12" s="34" t="n">
        <f aca="false">F5+F7+F8+F9+F10+F11</f>
        <v>31153218047.5525</v>
      </c>
    </row>
    <row r="13" customFormat="false" ht="15" hidden="false" customHeight="false" outlineLevel="0" collapsed="false">
      <c r="A13" s="7" t="s">
        <v>454</v>
      </c>
      <c r="B13" s="36" t="n">
        <f aca="false">IFERROR(B12/B5,0)</f>
        <v>0.0937447238397427</v>
      </c>
      <c r="C13" s="36" t="n">
        <f aca="false">IFERROR(C12/C5,0)</f>
        <v>0.18550699998423</v>
      </c>
      <c r="D13" s="36" t="n">
        <f aca="false">IFERROR(D12/D5,0)</f>
        <v>0.215245279135403</v>
      </c>
      <c r="E13" s="36" t="n">
        <f aca="false">IFERROR(E12/E5,0)</f>
        <v>0.223563023279096</v>
      </c>
      <c r="F13" s="36" t="n">
        <f aca="false">IFERROR(F12/F5,0)</f>
        <v>0.245846499996854</v>
      </c>
    </row>
    <row r="14" customFormat="false" ht="19.5" hidden="false" customHeight="true" outlineLevel="0" collapsed="false">
      <c r="A14" s="14" t="s">
        <v>455</v>
      </c>
      <c r="B14" s="14"/>
      <c r="C14" s="14"/>
      <c r="D14" s="14"/>
      <c r="E14" s="14"/>
      <c r="F14" s="14"/>
      <c r="G14" s="14"/>
      <c r="H14" s="14"/>
    </row>
    <row r="15" customFormat="false" ht="15" hidden="false" customHeight="false" outlineLevel="0" collapsed="false">
      <c r="A15" s="7" t="s">
        <v>456</v>
      </c>
      <c r="B15" s="24" t="n">
        <f aca="false">-'9. Charges fixes &amp; RH'!B21</f>
        <v>-2456800000</v>
      </c>
      <c r="C15" s="24" t="n">
        <f aca="false">-'9. Charges fixes &amp; RH'!C21</f>
        <v>-2996400000</v>
      </c>
      <c r="D15" s="24" t="n">
        <f aca="false">-'9. Charges fixes &amp; RH'!D21</f>
        <v>-3579400000</v>
      </c>
      <c r="E15" s="24" t="n">
        <f aca="false">-'9. Charges fixes &amp; RH'!E21</f>
        <v>-4181600000</v>
      </c>
      <c r="F15" s="24" t="n">
        <f aca="false">-'9. Charges fixes &amp; RH'!F21</f>
        <v>-4742800000</v>
      </c>
    </row>
    <row r="16" customFormat="false" ht="15" hidden="false" customHeight="false" outlineLevel="0" collapsed="false">
      <c r="A16" s="33" t="s">
        <v>457</v>
      </c>
      <c r="B16" s="34" t="n">
        <f aca="false">B12+B15</f>
        <v>-1258900090.90909</v>
      </c>
      <c r="C16" s="34" t="n">
        <f aca="false">C12+C15</f>
        <v>4649818250</v>
      </c>
      <c r="D16" s="34" t="n">
        <f aca="false">D12+D15</f>
        <v>10208451245.3147</v>
      </c>
      <c r="E16" s="34" t="n">
        <f aca="false">E12+E15</f>
        <v>16750558342.9371</v>
      </c>
      <c r="F16" s="34" t="n">
        <f aca="false">F12+F15</f>
        <v>26410418047.5525</v>
      </c>
    </row>
    <row r="17" customFormat="false" ht="15" hidden="false" customHeight="false" outlineLevel="0" collapsed="false">
      <c r="A17" s="7" t="s">
        <v>458</v>
      </c>
      <c r="B17" s="36" t="n">
        <f aca="false">IFERROR(B16/B5,0)</f>
        <v>-0.0985184492197366</v>
      </c>
      <c r="C17" s="36" t="n">
        <f aca="false">IFERROR(C16/C5,0)</f>
        <v>0.112810517019891</v>
      </c>
      <c r="D17" s="36" t="n">
        <f aca="false">IFERROR(D16/D5,0)</f>
        <v>0.159366452302319</v>
      </c>
      <c r="E17" s="36" t="n">
        <f aca="false">IFERROR(E16/E5,0)</f>
        <v>0.178902022591639</v>
      </c>
      <c r="F17" s="36" t="n">
        <f aca="false">IFERROR(F16/F5,0)</f>
        <v>0.208418559859008</v>
      </c>
    </row>
    <row r="18" customFormat="false" ht="15" hidden="false" customHeight="false" outlineLevel="0" collapsed="false">
      <c r="A18" s="7" t="s">
        <v>459</v>
      </c>
      <c r="B18" s="24" t="n">
        <f aca="false">-'10. CAPEX &amp; Amort.'!B17</f>
        <v>-797500000</v>
      </c>
      <c r="C18" s="24" t="n">
        <f aca="false">-'10. CAPEX &amp; Amort.'!C17</f>
        <v>-1006357142.85714</v>
      </c>
      <c r="D18" s="24" t="n">
        <f aca="false">-'10. CAPEX &amp; Amort.'!D17</f>
        <v>-1277714285.71429</v>
      </c>
      <c r="E18" s="24" t="n">
        <f aca="false">-'10. CAPEX &amp; Amort.'!E17</f>
        <v>-1575000000</v>
      </c>
      <c r="F18" s="24" t="n">
        <f aca="false">-'10. CAPEX &amp; Amort.'!F17</f>
        <v>-1904214285.71429</v>
      </c>
    </row>
    <row r="19" customFormat="false" ht="15" hidden="false" customHeight="false" outlineLevel="0" collapsed="false">
      <c r="A19" s="33" t="s">
        <v>460</v>
      </c>
      <c r="B19" s="34" t="n">
        <f aca="false">B16+B18</f>
        <v>-2056400090.90909</v>
      </c>
      <c r="C19" s="34" t="n">
        <f aca="false">C16+C18</f>
        <v>3643461107.14286</v>
      </c>
      <c r="D19" s="34" t="n">
        <f aca="false">D16+D18</f>
        <v>8930736959.60041</v>
      </c>
      <c r="E19" s="34" t="n">
        <f aca="false">E16+E18</f>
        <v>15175558342.9371</v>
      </c>
      <c r="F19" s="34" t="n">
        <f aca="false">F16+F18</f>
        <v>24506203761.8382</v>
      </c>
    </row>
    <row r="20" customFormat="false" ht="19.5" hidden="false" customHeight="true" outlineLevel="0" collapsed="false">
      <c r="A20" s="14" t="s">
        <v>461</v>
      </c>
      <c r="B20" s="14"/>
      <c r="C20" s="14"/>
      <c r="D20" s="14"/>
      <c r="E20" s="14"/>
      <c r="F20" s="14"/>
      <c r="G20" s="14"/>
      <c r="H20" s="14"/>
    </row>
    <row r="21" customFormat="false" ht="15" hidden="false" customHeight="false" outlineLevel="0" collapsed="false">
      <c r="A21" s="7" t="s">
        <v>462</v>
      </c>
      <c r="B21" s="22" t="n">
        <f aca="false">-'2. Hypothèses'!$C$72*'2. Hypothèses'!$C$73</f>
        <v>-297500000</v>
      </c>
      <c r="C21" s="22" t="n">
        <f aca="false">-'2. Hypothèses'!$C$72*'2. Hypothèses'!$D$73</f>
        <v>-297500000</v>
      </c>
      <c r="D21" s="22" t="n">
        <f aca="false">-'2. Hypothèses'!$C$72*'2. Hypothèses'!$E$73</f>
        <v>-287000000</v>
      </c>
      <c r="E21" s="22" t="n">
        <f aca="false">-'2. Hypothèses'!$C$72*'2. Hypothèses'!$F$73</f>
        <v>-280000000</v>
      </c>
      <c r="F21" s="22" t="n">
        <f aca="false">-'2. Hypothèses'!$C$72*'2. Hypothèses'!$G$73</f>
        <v>-273000000</v>
      </c>
    </row>
    <row r="22" customFormat="false" ht="15" hidden="false" customHeight="false" outlineLevel="0" collapsed="false">
      <c r="A22" s="7" t="s">
        <v>463</v>
      </c>
      <c r="B22" s="22" t="n">
        <f aca="false">-MAX(0,'6. BFR &amp; cautions'!B19)*0.6*'2. Hypothèses'!$C$75</f>
        <v>-215197403.863636</v>
      </c>
      <c r="C22" s="22" t="n">
        <f aca="false">-MAX(0,'6. BFR &amp; cautions'!C19)*0.6*'2. Hypothèses'!$D$75</f>
        <v>-745305223.5625</v>
      </c>
      <c r="D22" s="22" t="n">
        <f aca="false">-MAX(0,'6. BFR &amp; cautions'!D19)*0.6*'2. Hypothèses'!$E$75</f>
        <v>-1011195232.28345</v>
      </c>
      <c r="E22" s="22" t="n">
        <f aca="false">-MAX(0,'6. BFR &amp; cautions'!E19)*0.6*'2. Hypothèses'!$F$75</f>
        <v>-1313724074.05128</v>
      </c>
      <c r="F22" s="22" t="n">
        <f aca="false">-MAX(0,'6. BFR &amp; cautions'!F19)*0.6*'2. Hypothèses'!$G$75</f>
        <v>-1646544370.15385</v>
      </c>
    </row>
    <row r="23" customFormat="false" ht="15" hidden="false" customHeight="false" outlineLevel="0" collapsed="false">
      <c r="A23" s="7" t="s">
        <v>464</v>
      </c>
      <c r="B23" s="22" t="n">
        <f aca="false">-'6. BFR &amp; cautions'!B11</f>
        <v>-320526494.318182</v>
      </c>
      <c r="C23" s="22" t="n">
        <f aca="false">-'6. BFR &amp; cautions'!C11</f>
        <v>-432267146.727273</v>
      </c>
      <c r="D23" s="22" t="n">
        <f aca="false">-'6. BFR &amp; cautions'!D11</f>
        <v>-553618794.846154</v>
      </c>
      <c r="E23" s="22" t="n">
        <f aca="false">-'6. BFR &amp; cautions'!E11</f>
        <v>-682057727.384615</v>
      </c>
      <c r="F23" s="22" t="n">
        <f aca="false">-'6. BFR &amp; cautions'!F11</f>
        <v>-792530406.993007</v>
      </c>
    </row>
    <row r="24" customFormat="false" ht="15" hidden="false" customHeight="false" outlineLevel="0" collapsed="false">
      <c r="A24" s="12" t="s">
        <v>465</v>
      </c>
      <c r="B24" s="23" t="n">
        <f aca="false">B21+B22+B23</f>
        <v>-833223898.181818</v>
      </c>
      <c r="C24" s="23" t="n">
        <f aca="false">C21+C22+C23</f>
        <v>-1475072370.28977</v>
      </c>
      <c r="D24" s="23" t="n">
        <f aca="false">D21+D22+D23</f>
        <v>-1851814027.1296</v>
      </c>
      <c r="E24" s="23" t="n">
        <f aca="false">E21+E22+E23</f>
        <v>-2275781801.4359</v>
      </c>
      <c r="F24" s="23" t="n">
        <f aca="false">F21+F22+F23</f>
        <v>-2712074777.14685</v>
      </c>
    </row>
    <row r="25" customFormat="false" ht="15" hidden="false" customHeight="false" outlineLevel="0" collapsed="false">
      <c r="A25" s="12" t="s">
        <v>466</v>
      </c>
      <c r="B25" s="23" t="n">
        <f aca="false">B19+B24</f>
        <v>-2889623989.09091</v>
      </c>
      <c r="C25" s="23" t="n">
        <f aca="false">C19+C24</f>
        <v>2168388736.85308</v>
      </c>
      <c r="D25" s="23" t="n">
        <f aca="false">D19+D24</f>
        <v>7078922932.4708</v>
      </c>
      <c r="E25" s="23" t="n">
        <f aca="false">E19+E24</f>
        <v>12899776541.5012</v>
      </c>
      <c r="F25" s="23" t="n">
        <f aca="false">F19+F24</f>
        <v>21794128984.6913</v>
      </c>
    </row>
    <row r="26" customFormat="false" ht="15" hidden="false" customHeight="false" outlineLevel="0" collapsed="false">
      <c r="A26" s="7" t="s">
        <v>467</v>
      </c>
      <c r="B26" s="25" t="n">
        <f aca="false">-MAX(0,B25)*'2. Hypothèses'!$C$6</f>
        <v>-0</v>
      </c>
      <c r="C26" s="25" t="n">
        <f aca="false">-MAX(0,C25)*'2. Hypothèses'!$D$6</f>
        <v>-650516621.055925</v>
      </c>
      <c r="D26" s="25" t="n">
        <f aca="false">-MAX(0,D25)*'2. Hypothèses'!$E$6</f>
        <v>-2123676879.74124</v>
      </c>
      <c r="E26" s="25" t="n">
        <f aca="false">-MAX(0,E25)*'2. Hypothèses'!$F$6</f>
        <v>-3869932962.45035</v>
      </c>
      <c r="F26" s="25" t="n">
        <f aca="false">-MAX(0,F25)*'2. Hypothèses'!$G$6</f>
        <v>-6538238695.40739</v>
      </c>
    </row>
    <row r="27" customFormat="false" ht="15" hidden="false" customHeight="false" outlineLevel="0" collapsed="false">
      <c r="A27" s="33" t="s">
        <v>468</v>
      </c>
      <c r="B27" s="34" t="n">
        <f aca="false">B25+B26</f>
        <v>-2889623989.09091</v>
      </c>
      <c r="C27" s="34" t="n">
        <f aca="false">C25+C26</f>
        <v>1517872115.79716</v>
      </c>
      <c r="D27" s="34" t="n">
        <f aca="false">D25+D26</f>
        <v>4955246052.72956</v>
      </c>
      <c r="E27" s="34" t="n">
        <f aca="false">E25+E26</f>
        <v>9029843579.05082</v>
      </c>
      <c r="F27" s="34" t="n">
        <f aca="false">F25+F26</f>
        <v>15255890289.2839</v>
      </c>
    </row>
    <row r="28" customFormat="false" ht="15" hidden="false" customHeight="false" outlineLevel="0" collapsed="false">
      <c r="A28" s="7" t="s">
        <v>469</v>
      </c>
      <c r="B28" s="36" t="n">
        <f aca="false">IFERROR(B27/B5,0)</f>
        <v>-0.2261349222938</v>
      </c>
      <c r="C28" s="36" t="n">
        <f aca="false">IFERROR(C27/C5,0)</f>
        <v>0.0368255120838654</v>
      </c>
      <c r="D28" s="36" t="n">
        <f aca="false">IFERROR(D27/D5,0)</f>
        <v>0.0773574722288087</v>
      </c>
      <c r="E28" s="36" t="n">
        <f aca="false">IFERROR(E27/E5,0)</f>
        <v>0.0964419959564799</v>
      </c>
      <c r="F28" s="36" t="n">
        <f aca="false">IFERROR(F27/F5,0)</f>
        <v>0.120392289048005</v>
      </c>
    </row>
  </sheetData>
  <mergeCells count="5">
    <mergeCell ref="A1:H1"/>
    <mergeCell ref="A4:H4"/>
    <mergeCell ref="A6:H6"/>
    <mergeCell ref="A14:H14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6" min="2" style="0" width="18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470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5" t="s">
        <v>354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  <c r="G3" s="5"/>
      <c r="H3" s="5" t="s">
        <v>69</v>
      </c>
    </row>
    <row r="4" customFormat="false" ht="19.5" hidden="false" customHeight="true" outlineLevel="0" collapsed="false">
      <c r="A4" s="14" t="s">
        <v>471</v>
      </c>
      <c r="B4" s="14"/>
      <c r="C4" s="14"/>
      <c r="D4" s="14"/>
      <c r="E4" s="14"/>
      <c r="F4" s="14"/>
      <c r="G4" s="14"/>
      <c r="H4" s="14"/>
    </row>
    <row r="5" customFormat="false" ht="15" hidden="false" customHeight="false" outlineLevel="0" collapsed="false">
      <c r="A5" s="6" t="s">
        <v>472</v>
      </c>
      <c r="B5" s="24" t="n">
        <f aca="false">'5. Décomptes &amp; encaissements'!N15</f>
        <v>10281049909.0909</v>
      </c>
      <c r="C5" s="24" t="n">
        <f aca="false">'5. Décomptes &amp; encaissements'!O15</f>
        <v>45015521545.4545</v>
      </c>
      <c r="D5" s="24" t="n">
        <f aca="false">'5. Décomptes &amp; encaissements'!P15</f>
        <v>64849297590.9091</v>
      </c>
      <c r="E5" s="24" t="n">
        <f aca="false">'5. Décomptes &amp; encaissements'!Q15</f>
        <v>94045186587.4126</v>
      </c>
      <c r="F5" s="24" t="n">
        <f aca="false">'5. Décomptes &amp; encaissements'!R15</f>
        <v>127819256027.972</v>
      </c>
    </row>
    <row r="6" customFormat="false" ht="19.5" hidden="false" customHeight="true" outlineLevel="0" collapsed="false">
      <c r="A6" s="14" t="s">
        <v>473</v>
      </c>
      <c r="B6" s="14"/>
      <c r="C6" s="14"/>
      <c r="D6" s="14"/>
      <c r="E6" s="14"/>
      <c r="F6" s="14"/>
      <c r="G6" s="14"/>
      <c r="H6" s="14"/>
    </row>
    <row r="7" customFormat="false" ht="15" hidden="false" customHeight="false" outlineLevel="0" collapsed="false">
      <c r="A7" s="7" t="s">
        <v>474</v>
      </c>
      <c r="B7" s="24" t="n">
        <f aca="false">'11. P&amp;L'!B7+'11. P&amp;L'!B8+'11. P&amp;L'!B9+'11. P&amp;L'!B10+'11. P&amp;L'!B11</f>
        <v>-11580418272.7273</v>
      </c>
      <c r="C7" s="24" t="n">
        <f aca="false">'11. P&amp;L'!C7+'11. P&amp;L'!C8+'11. P&amp;L'!C9+'11. P&amp;L'!C10+'11. P&amp;L'!C11</f>
        <v>-33571731750</v>
      </c>
      <c r="D7" s="24" t="n">
        <f aca="false">'11. P&amp;L'!D7+'11. P&amp;L'!D8+'11. P&amp;L'!D9+'11. P&amp;L'!D10+'11. P&amp;L'!D11</f>
        <v>-50268611691.7482</v>
      </c>
      <c r="E7" s="24" t="n">
        <f aca="false">'11. P&amp;L'!E7+'11. P&amp;L'!E8+'11. P&amp;L'!E9+'11. P&amp;L'!E10+'11. P&amp;L'!E11</f>
        <v>-72697629069.6503</v>
      </c>
      <c r="F7" s="24" t="n">
        <f aca="false">'11. P&amp;L'!F7+'11. P&amp;L'!F8+'11. P&amp;L'!F9+'11. P&amp;L'!F10+'11. P&amp;L'!F11</f>
        <v>-95564949784.6154</v>
      </c>
    </row>
    <row r="8" customFormat="false" ht="15" hidden="false" customHeight="false" outlineLevel="0" collapsed="false">
      <c r="A8" s="7" t="s">
        <v>475</v>
      </c>
      <c r="B8" s="24" t="n">
        <f aca="false">'11. P&amp;L'!B15</f>
        <v>-2456800000</v>
      </c>
      <c r="C8" s="24" t="n">
        <f aca="false">'11. P&amp;L'!C15</f>
        <v>-2996400000</v>
      </c>
      <c r="D8" s="24" t="n">
        <f aca="false">'11. P&amp;L'!D15</f>
        <v>-3579400000</v>
      </c>
      <c r="E8" s="24" t="n">
        <f aca="false">'11. P&amp;L'!E15</f>
        <v>-4181600000</v>
      </c>
      <c r="F8" s="24" t="n">
        <f aca="false">'11. P&amp;L'!F15</f>
        <v>-4742800000</v>
      </c>
    </row>
    <row r="9" customFormat="false" ht="15" hidden="false" customHeight="false" outlineLevel="0" collapsed="false">
      <c r="A9" s="7" t="s">
        <v>476</v>
      </c>
      <c r="B9" s="24" t="n">
        <f aca="false">'6. BFR &amp; cautions'!B21</f>
        <v>-5683014909.09091</v>
      </c>
      <c r="C9" s="24" t="n">
        <f aca="false">'6. BFR &amp; cautions'!C21</f>
        <v>-8360513670.5303</v>
      </c>
      <c r="D9" s="24" t="n">
        <f aca="false">'6. BFR &amp; cautions'!D21</f>
        <v>-4614576877.5272</v>
      </c>
      <c r="E9" s="24" t="n">
        <f aca="false">'6. BFR &amp; cautions'!E21</f>
        <v>-4967119632.39315</v>
      </c>
      <c r="F9" s="24" t="n">
        <f aca="false">'6. BFR &amp; cautions'!F21</f>
        <v>-5747062287.30382</v>
      </c>
    </row>
    <row r="10" customFormat="false" ht="15" hidden="false" customHeight="false" outlineLevel="0" collapsed="false">
      <c r="A10" s="12" t="s">
        <v>477</v>
      </c>
      <c r="B10" s="23" t="n">
        <f aca="false">'11. P&amp;L'!B16+B9</f>
        <v>-6941915000</v>
      </c>
      <c r="C10" s="23" t="n">
        <f aca="false">'11. P&amp;L'!C16+C9</f>
        <v>-3710695420.5303</v>
      </c>
      <c r="D10" s="23" t="n">
        <f aca="false">'11. P&amp;L'!D16+D9</f>
        <v>5593874367.7875</v>
      </c>
      <c r="E10" s="23" t="n">
        <f aca="false">'11. P&amp;L'!E16+E9</f>
        <v>11783438710.5439</v>
      </c>
      <c r="F10" s="23" t="n">
        <f aca="false">'11. P&amp;L'!F16+F9</f>
        <v>20663355760.2486</v>
      </c>
    </row>
    <row r="11" customFormat="false" ht="19.5" hidden="false" customHeight="true" outlineLevel="0" collapsed="false">
      <c r="A11" s="14" t="s">
        <v>478</v>
      </c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7" t="s">
        <v>479</v>
      </c>
      <c r="B12" s="24" t="n">
        <f aca="false">'11. P&amp;L'!B24</f>
        <v>-833223898.181818</v>
      </c>
      <c r="C12" s="24" t="n">
        <f aca="false">'11. P&amp;L'!C24</f>
        <v>-1475072370.28977</v>
      </c>
      <c r="D12" s="24" t="n">
        <f aca="false">'11. P&amp;L'!D24</f>
        <v>-1851814027.1296</v>
      </c>
      <c r="E12" s="24" t="n">
        <f aca="false">'11. P&amp;L'!E24</f>
        <v>-2275781801.4359</v>
      </c>
      <c r="F12" s="24" t="n">
        <f aca="false">'11. P&amp;L'!F24</f>
        <v>-2712074777.14685</v>
      </c>
    </row>
    <row r="13" customFormat="false" ht="15" hidden="false" customHeight="false" outlineLevel="0" collapsed="false">
      <c r="A13" s="7" t="s">
        <v>480</v>
      </c>
      <c r="B13" s="24" t="n">
        <f aca="false">'11. P&amp;L'!B26</f>
        <v>-0</v>
      </c>
      <c r="C13" s="24" t="n">
        <f aca="false">'11. P&amp;L'!C26</f>
        <v>-650516621.055925</v>
      </c>
      <c r="D13" s="24" t="n">
        <f aca="false">'11. P&amp;L'!D26</f>
        <v>-2123676879.74124</v>
      </c>
      <c r="E13" s="24" t="n">
        <f aca="false">'11. P&amp;L'!E26</f>
        <v>-3869932962.45035</v>
      </c>
      <c r="F13" s="24" t="n">
        <f aca="false">'11. P&amp;L'!F26</f>
        <v>-6538238695.40739</v>
      </c>
    </row>
    <row r="14" customFormat="false" ht="15" hidden="false" customHeight="false" outlineLevel="0" collapsed="false">
      <c r="A14" s="7" t="s">
        <v>481</v>
      </c>
      <c r="B14" s="24" t="n">
        <f aca="false">-'10. CAPEX &amp; Amort.'!B9</f>
        <v>-1250000000</v>
      </c>
      <c r="C14" s="24" t="n">
        <f aca="false">-'10. CAPEX &amp; Amort.'!C9</f>
        <v>-1510000000</v>
      </c>
      <c r="D14" s="24" t="n">
        <f aca="false">-'10. CAPEX &amp; Amort.'!D9</f>
        <v>-1870000000</v>
      </c>
      <c r="E14" s="24" t="n">
        <f aca="false">-'10. CAPEX &amp; Amort.'!E9</f>
        <v>-1890000000</v>
      </c>
      <c r="F14" s="24" t="n">
        <f aca="false">-'10. CAPEX &amp; Amort.'!F9</f>
        <v>-2240000000</v>
      </c>
    </row>
    <row r="15" customFormat="false" ht="15" hidden="false" customHeight="false" outlineLevel="0" collapsed="false">
      <c r="A15" s="33" t="s">
        <v>482</v>
      </c>
      <c r="B15" s="34" t="n">
        <f aca="false">B10+B12+B13+B14</f>
        <v>-9025138898.18182</v>
      </c>
      <c r="C15" s="34" t="n">
        <f aca="false">C10+C12+C13+C14</f>
        <v>-7346284411.876</v>
      </c>
      <c r="D15" s="34" t="n">
        <f aca="false">D10+D12+D13+D14</f>
        <v>-251616539.08335</v>
      </c>
      <c r="E15" s="34" t="n">
        <f aca="false">E10+E12+E13+E14</f>
        <v>3747723946.65767</v>
      </c>
      <c r="F15" s="34" t="n">
        <f aca="false">F10+F12+F13+F14</f>
        <v>9173042287.69439</v>
      </c>
    </row>
    <row r="16" customFormat="false" ht="19.5" hidden="false" customHeight="true" outlineLevel="0" collapsed="false">
      <c r="A16" s="14" t="s">
        <v>483</v>
      </c>
      <c r="B16" s="14"/>
      <c r="C16" s="14"/>
      <c r="D16" s="14"/>
      <c r="E16" s="14"/>
      <c r="F16" s="14"/>
      <c r="G16" s="14"/>
      <c r="H16" s="14"/>
    </row>
    <row r="17" customFormat="false" ht="15" hidden="false" customHeight="false" outlineLevel="0" collapsed="false">
      <c r="A17" s="7" t="s">
        <v>484</v>
      </c>
      <c r="B17" s="37" t="n">
        <v>0</v>
      </c>
      <c r="C17" s="37" t="n">
        <v>2000000000</v>
      </c>
      <c r="D17" s="37" t="n">
        <v>1500000000</v>
      </c>
      <c r="E17" s="37" t="n">
        <v>0</v>
      </c>
      <c r="F17" s="37" t="n">
        <v>1000000000</v>
      </c>
    </row>
    <row r="18" customFormat="false" ht="15" hidden="false" customHeight="false" outlineLevel="0" collapsed="false">
      <c r="A18" s="7" t="s">
        <v>485</v>
      </c>
      <c r="B18" s="37" t="n">
        <v>-500000000</v>
      </c>
      <c r="C18" s="37" t="n">
        <v>-600000000</v>
      </c>
      <c r="D18" s="37" t="n">
        <v>-800000000</v>
      </c>
      <c r="E18" s="37" t="n">
        <v>-900000000</v>
      </c>
      <c r="F18" s="37" t="n">
        <v>-1000000000</v>
      </c>
    </row>
    <row r="19" customFormat="false" ht="15" hidden="false" customHeight="false" outlineLevel="0" collapsed="false">
      <c r="A19" s="7" t="s">
        <v>486</v>
      </c>
      <c r="B19" s="37" t="n">
        <v>0</v>
      </c>
      <c r="C19" s="37" t="n">
        <v>0</v>
      </c>
      <c r="D19" s="37" t="n">
        <v>3000000000</v>
      </c>
      <c r="E19" s="37" t="n">
        <v>0</v>
      </c>
      <c r="F19" s="37" t="n">
        <v>0</v>
      </c>
    </row>
    <row r="20" customFormat="false" ht="15" hidden="false" customHeight="false" outlineLevel="0" collapsed="false">
      <c r="A20" s="7" t="s">
        <v>487</v>
      </c>
      <c r="B20" s="37" t="n">
        <v>0</v>
      </c>
      <c r="C20" s="37" t="n">
        <v>0</v>
      </c>
      <c r="D20" s="37" t="n">
        <v>-200000000</v>
      </c>
      <c r="E20" s="37" t="n">
        <v>-400000000</v>
      </c>
      <c r="F20" s="37" t="n">
        <v>-600000000</v>
      </c>
    </row>
    <row r="21" customFormat="false" ht="15" hidden="false" customHeight="false" outlineLevel="0" collapsed="false">
      <c r="A21" s="12" t="s">
        <v>488</v>
      </c>
      <c r="B21" s="23" t="n">
        <f aca="false">B17+B18+B19+B20</f>
        <v>-500000000</v>
      </c>
      <c r="C21" s="23" t="n">
        <f aca="false">C17+C18+C19+C20</f>
        <v>1400000000</v>
      </c>
      <c r="D21" s="23" t="n">
        <f aca="false">D17+D18+D19+D20</f>
        <v>3500000000</v>
      </c>
      <c r="E21" s="23" t="n">
        <f aca="false">E17+E18+E19+E20</f>
        <v>-1300000000</v>
      </c>
      <c r="F21" s="23" t="n">
        <f aca="false">F17+F18+F19+F20</f>
        <v>-600000000</v>
      </c>
    </row>
    <row r="22" customFormat="false" ht="15" hidden="false" customHeight="false" outlineLevel="0" collapsed="false">
      <c r="A22" s="33" t="s">
        <v>489</v>
      </c>
      <c r="B22" s="34" t="n">
        <f aca="false">B15+B21</f>
        <v>-9525138898.18182</v>
      </c>
      <c r="C22" s="34" t="n">
        <f aca="false">C15+C21</f>
        <v>-5946284411.876</v>
      </c>
      <c r="D22" s="34" t="n">
        <f aca="false">D15+D21</f>
        <v>3248383460.91665</v>
      </c>
      <c r="E22" s="34" t="n">
        <f aca="false">E15+E21</f>
        <v>2447723946.65767</v>
      </c>
      <c r="F22" s="34" t="n">
        <f aca="false">F15+F21</f>
        <v>8573042287.69439</v>
      </c>
    </row>
    <row r="23" customFormat="false" ht="19.5" hidden="false" customHeight="true" outlineLevel="0" collapsed="false">
      <c r="A23" s="14" t="s">
        <v>490</v>
      </c>
      <c r="B23" s="14"/>
      <c r="C23" s="14"/>
      <c r="D23" s="14"/>
      <c r="E23" s="14"/>
      <c r="F23" s="14"/>
      <c r="G23" s="14"/>
      <c r="H23" s="14"/>
    </row>
    <row r="24" customFormat="false" ht="15" hidden="false" customHeight="false" outlineLevel="0" collapsed="false">
      <c r="A24" s="6" t="s">
        <v>491</v>
      </c>
      <c r="B24" s="24" t="n">
        <f aca="false">'2. Hypothèses'!$C$76</f>
        <v>1800000000</v>
      </c>
      <c r="C24" s="24" t="n">
        <f aca="false">B25</f>
        <v>-7725138898.18182</v>
      </c>
      <c r="D24" s="24" t="n">
        <f aca="false">C25</f>
        <v>-13671423310.0578</v>
      </c>
      <c r="E24" s="24" t="n">
        <f aca="false">D25</f>
        <v>-10423039849.1412</v>
      </c>
      <c r="F24" s="24" t="n">
        <f aca="false">E25</f>
        <v>-7975315902.4835</v>
      </c>
    </row>
    <row r="25" customFormat="false" ht="15" hidden="false" customHeight="false" outlineLevel="0" collapsed="false">
      <c r="A25" s="33" t="s">
        <v>492</v>
      </c>
      <c r="B25" s="34" t="n">
        <f aca="false">B24+B22</f>
        <v>-7725138898.18182</v>
      </c>
      <c r="C25" s="34" t="n">
        <f aca="false">C24+C22</f>
        <v>-13671423310.0578</v>
      </c>
      <c r="D25" s="34" t="n">
        <f aca="false">D24+D22</f>
        <v>-10423039849.1412</v>
      </c>
      <c r="E25" s="34" t="n">
        <f aca="false">E24+E22</f>
        <v>-7975315902.4835</v>
      </c>
      <c r="F25" s="34" t="n">
        <f aca="false">F24+F22</f>
        <v>597726385.210886</v>
      </c>
    </row>
  </sheetData>
  <mergeCells count="6">
    <mergeCell ref="A1:H1"/>
    <mergeCell ref="A4:H4"/>
    <mergeCell ref="A6:H6"/>
    <mergeCell ref="A11:H11"/>
    <mergeCell ref="A16:H16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7" min="3" style="0" width="18"/>
    <col collapsed="false" customWidth="true" hidden="false" outlineLevel="0" max="8" min="8" style="0" width="35"/>
  </cols>
  <sheetData>
    <row r="1" customFormat="false" ht="30" hidden="false" customHeight="true" outlineLevel="0" collapsed="false">
      <c r="A1" s="1" t="s">
        <v>493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5" t="s">
        <v>217</v>
      </c>
      <c r="B3" s="5" t="s">
        <v>63</v>
      </c>
      <c r="C3" s="5" t="s">
        <v>64</v>
      </c>
      <c r="D3" s="5" t="s">
        <v>65</v>
      </c>
      <c r="E3" s="5" t="s">
        <v>66</v>
      </c>
      <c r="F3" s="5" t="s">
        <v>67</v>
      </c>
      <c r="G3" s="5" t="s">
        <v>68</v>
      </c>
      <c r="H3" s="5" t="s">
        <v>69</v>
      </c>
    </row>
    <row r="4" customFormat="false" ht="19.5" hidden="false" customHeight="true" outlineLevel="0" collapsed="false">
      <c r="A4" s="14" t="s">
        <v>494</v>
      </c>
      <c r="B4" s="14"/>
      <c r="C4" s="14"/>
      <c r="D4" s="14"/>
      <c r="E4" s="14"/>
      <c r="F4" s="14"/>
      <c r="G4" s="14"/>
      <c r="H4" s="14"/>
    </row>
    <row r="5" customFormat="false" ht="15" hidden="false" customHeight="false" outlineLevel="0" collapsed="false">
      <c r="A5" s="6" t="s">
        <v>495</v>
      </c>
      <c r="B5" s="15" t="s">
        <v>87</v>
      </c>
      <c r="C5" s="24" t="n">
        <f aca="false">'11. P&amp;L'!B5</f>
        <v>12778318181.8182</v>
      </c>
      <c r="D5" s="24" t="n">
        <f aca="false">'11. P&amp;L'!C5</f>
        <v>41217950000</v>
      </c>
      <c r="E5" s="24" t="n">
        <f aca="false">'11. P&amp;L'!D5</f>
        <v>64056462937.0629</v>
      </c>
      <c r="F5" s="24" t="n">
        <f aca="false">'11. P&amp;L'!E5</f>
        <v>93629787412.5874</v>
      </c>
      <c r="G5" s="24" t="n">
        <f aca="false">'11. P&amp;L'!F5</f>
        <v>126718167832.168</v>
      </c>
      <c r="H5" s="7" t="s">
        <v>388</v>
      </c>
    </row>
    <row r="6" customFormat="false" ht="15" hidden="false" customHeight="false" outlineLevel="0" collapsed="false">
      <c r="A6" s="6" t="s">
        <v>496</v>
      </c>
      <c r="B6" s="15" t="s">
        <v>72</v>
      </c>
      <c r="C6" s="36" t="str">
        <f aca="false">"N/A"</f>
        <v>N/A</v>
      </c>
      <c r="D6" s="36" t="n">
        <f aca="false">IFERROR(C5/B5-1,0)</f>
        <v>0</v>
      </c>
      <c r="E6" s="36" t="n">
        <f aca="false">IFERROR(D5/C5-1,0)</f>
        <v>2.22561618935484</v>
      </c>
      <c r="F6" s="36" t="n">
        <f aca="false">IFERROR(E5/D5-1,0)</f>
        <v>0.554091431938341</v>
      </c>
      <c r="G6" s="36" t="n">
        <f aca="false">IFERROR(F5/E5-1,0)</f>
        <v>0.461675889044654</v>
      </c>
      <c r="H6" s="7" t="s">
        <v>497</v>
      </c>
    </row>
    <row r="7" customFormat="false" ht="15" hidden="false" customHeight="false" outlineLevel="0" collapsed="false">
      <c r="A7" s="6" t="s">
        <v>233</v>
      </c>
      <c r="B7" s="15" t="s">
        <v>87</v>
      </c>
      <c r="C7" s="24" t="n">
        <f aca="false">'3. Pipeline &amp; Backlog'!B13</f>
        <v>53721681818.1818</v>
      </c>
      <c r="D7" s="24" t="n">
        <f aca="false">'3. Pipeline &amp; Backlog'!C13</f>
        <v>62903731818.1818</v>
      </c>
      <c r="E7" s="24" t="n">
        <f aca="false">'3. Pipeline &amp; Backlog'!D13</f>
        <v>78847268881.1189</v>
      </c>
      <c r="F7" s="24" t="n">
        <f aca="false">'3. Pipeline &amp; Backlog'!E13</f>
        <v>95417481468.5315</v>
      </c>
      <c r="G7" s="24" t="n">
        <f aca="false">'3. Pipeline &amp; Backlog'!F13</f>
        <v>118199313636.364</v>
      </c>
      <c r="H7" s="7" t="s">
        <v>498</v>
      </c>
    </row>
    <row r="8" customFormat="false" ht="15" hidden="false" customHeight="false" outlineLevel="0" collapsed="false">
      <c r="A8" s="6" t="s">
        <v>499</v>
      </c>
      <c r="B8" s="15" t="s">
        <v>500</v>
      </c>
      <c r="C8" s="38" t="n">
        <f aca="false">'3. Pipeline &amp; Backlog'!B15</f>
        <v>2.46511313553142</v>
      </c>
      <c r="D8" s="38" t="n">
        <f aca="false">'3. Pipeline &amp; Backlog'!C15</f>
        <v>1.22276823568373</v>
      </c>
      <c r="E8" s="38" t="n">
        <f aca="false">'3. Pipeline &amp; Backlog'!D15</f>
        <v>1.2488981803226</v>
      </c>
      <c r="F8" s="38" t="n">
        <f aca="false">'3. Pipeline &amp; Backlog'!E15</f>
        <v>1.17697586468283</v>
      </c>
      <c r="G8" s="38" t="n">
        <f aca="false">'3. Pipeline &amp; Backlog'!F15</f>
        <v>1.17978347191703</v>
      </c>
      <c r="H8" s="7" t="s">
        <v>501</v>
      </c>
    </row>
    <row r="9" customFormat="false" ht="15" hidden="false" customHeight="false" outlineLevel="0" collapsed="false">
      <c r="A9" s="6" t="s">
        <v>502</v>
      </c>
      <c r="B9" s="15" t="s">
        <v>90</v>
      </c>
      <c r="C9" s="39" t="n">
        <f aca="false">'3. Pipeline &amp; Backlog'!B16</f>
        <v>50.449532766796</v>
      </c>
      <c r="D9" s="39" t="n">
        <f aca="false">'3. Pipeline &amp; Backlog'!C16</f>
        <v>18.3134964698191</v>
      </c>
      <c r="E9" s="39" t="n">
        <f aca="false">'3. Pipeline &amp; Backlog'!D16</f>
        <v>14.7708315943554</v>
      </c>
      <c r="F9" s="39" t="n">
        <f aca="false">'3. Pipeline &amp; Backlog'!E16</f>
        <v>12.2291186305572</v>
      </c>
      <c r="G9" s="39" t="n">
        <f aca="false">'3. Pipeline &amp; Backlog'!F16</f>
        <v>11.1932786584711</v>
      </c>
      <c r="H9" s="7" t="s">
        <v>239</v>
      </c>
    </row>
    <row r="10" customFormat="false" ht="15" hidden="false" customHeight="false" outlineLevel="0" collapsed="false">
      <c r="A10" s="6" t="s">
        <v>503</v>
      </c>
      <c r="B10" s="15" t="s">
        <v>72</v>
      </c>
      <c r="C10" s="20" t="n">
        <f aca="false">'3. Pipeline &amp; Backlog'!B6</f>
        <v>0.32</v>
      </c>
      <c r="D10" s="20" t="n">
        <f aca="false">'3. Pipeline &amp; Backlog'!C6</f>
        <v>0.35</v>
      </c>
      <c r="E10" s="20" t="n">
        <f aca="false">'3. Pipeline &amp; Backlog'!D6</f>
        <v>0.38</v>
      </c>
      <c r="F10" s="20" t="n">
        <f aca="false">'3. Pipeline &amp; Backlog'!E6</f>
        <v>0.4</v>
      </c>
      <c r="G10" s="20" t="n">
        <f aca="false">'3. Pipeline &amp; Backlog'!F6</f>
        <v>0.42</v>
      </c>
      <c r="H10" s="7" t="s">
        <v>84</v>
      </c>
    </row>
    <row r="11" customFormat="false" ht="15" hidden="false" customHeight="false" outlineLevel="0" collapsed="false">
      <c r="A11" s="6" t="s">
        <v>504</v>
      </c>
      <c r="B11" s="15" t="s">
        <v>174</v>
      </c>
      <c r="C11" s="19" t="n">
        <f aca="false">'3. Pipeline &amp; Backlog'!B7</f>
        <v>9</v>
      </c>
      <c r="D11" s="19" t="n">
        <f aca="false">'3. Pipeline &amp; Backlog'!C7</f>
        <v>12</v>
      </c>
      <c r="E11" s="19" t="n">
        <f aca="false">'3. Pipeline &amp; Backlog'!D7</f>
        <v>16</v>
      </c>
      <c r="F11" s="19" t="n">
        <f aca="false">'3. Pipeline &amp; Backlog'!E7</f>
        <v>19</v>
      </c>
      <c r="G11" s="19" t="n">
        <f aca="false">'3. Pipeline &amp; Backlog'!F7</f>
        <v>23</v>
      </c>
      <c r="H11" s="7" t="s">
        <v>505</v>
      </c>
    </row>
    <row r="12" customFormat="false" ht="19.5" hidden="false" customHeight="true" outlineLevel="0" collapsed="false">
      <c r="A12" s="14" t="s">
        <v>506</v>
      </c>
      <c r="B12" s="14"/>
      <c r="C12" s="14"/>
      <c r="D12" s="14"/>
      <c r="E12" s="14"/>
      <c r="F12" s="14"/>
      <c r="G12" s="14"/>
      <c r="H12" s="14"/>
    </row>
    <row r="13" customFormat="false" ht="15" hidden="false" customHeight="false" outlineLevel="0" collapsed="false">
      <c r="A13" s="6" t="s">
        <v>507</v>
      </c>
      <c r="B13" s="15" t="s">
        <v>87</v>
      </c>
      <c r="C13" s="24" t="n">
        <f aca="false">'11. P&amp;L'!B12</f>
        <v>1197899909.09091</v>
      </c>
      <c r="D13" s="24" t="n">
        <f aca="false">'11. P&amp;L'!C12</f>
        <v>7646218250</v>
      </c>
      <c r="E13" s="24" t="n">
        <f aca="false">'11. P&amp;L'!D12</f>
        <v>13787851245.3147</v>
      </c>
      <c r="F13" s="24" t="n">
        <f aca="false">'11. P&amp;L'!E12</f>
        <v>20932158342.9371</v>
      </c>
      <c r="G13" s="24" t="n">
        <f aca="false">'11. P&amp;L'!F12</f>
        <v>31153218047.5525</v>
      </c>
      <c r="H13" s="7" t="s">
        <v>508</v>
      </c>
    </row>
    <row r="14" customFormat="false" ht="15" hidden="false" customHeight="false" outlineLevel="0" collapsed="false">
      <c r="A14" s="6" t="s">
        <v>509</v>
      </c>
      <c r="B14" s="15" t="s">
        <v>72</v>
      </c>
      <c r="C14" s="20" t="n">
        <f aca="false">IFERROR('11. P&amp;L'!B12/'11. P&amp;L'!B5,0)</f>
        <v>0.0937447238397427</v>
      </c>
      <c r="D14" s="20" t="n">
        <f aca="false">IFERROR('11. P&amp;L'!C12/'11. P&amp;L'!C5,0)</f>
        <v>0.18550699998423</v>
      </c>
      <c r="E14" s="20" t="n">
        <f aca="false">IFERROR('11. P&amp;L'!D12/'11. P&amp;L'!D5,0)</f>
        <v>0.215245279135403</v>
      </c>
      <c r="F14" s="20" t="n">
        <f aca="false">IFERROR('11. P&amp;L'!E12/'11. P&amp;L'!E5,0)</f>
        <v>0.223563023279096</v>
      </c>
      <c r="G14" s="20" t="n">
        <f aca="false">IFERROR('11. P&amp;L'!F12/'11. P&amp;L'!F5,0)</f>
        <v>0.245846499996854</v>
      </c>
      <c r="H14" s="7" t="s">
        <v>510</v>
      </c>
    </row>
    <row r="15" customFormat="false" ht="15" hidden="false" customHeight="false" outlineLevel="0" collapsed="false">
      <c r="A15" s="6" t="s">
        <v>457</v>
      </c>
      <c r="B15" s="15" t="s">
        <v>87</v>
      </c>
      <c r="C15" s="24" t="n">
        <f aca="false">'11. P&amp;L'!B16</f>
        <v>-1258900090.90909</v>
      </c>
      <c r="D15" s="24" t="n">
        <f aca="false">'11. P&amp;L'!C16</f>
        <v>4649818250</v>
      </c>
      <c r="E15" s="24" t="n">
        <f aca="false">'11. P&amp;L'!D16</f>
        <v>10208451245.3147</v>
      </c>
      <c r="F15" s="24" t="n">
        <f aca="false">'11. P&amp;L'!E16</f>
        <v>16750558342.9371</v>
      </c>
      <c r="G15" s="24" t="n">
        <f aca="false">'11. P&amp;L'!F16</f>
        <v>26410418047.5525</v>
      </c>
      <c r="H15" s="7" t="s">
        <v>511</v>
      </c>
    </row>
    <row r="16" customFormat="false" ht="15" hidden="false" customHeight="false" outlineLevel="0" collapsed="false">
      <c r="A16" s="6" t="s">
        <v>512</v>
      </c>
      <c r="B16" s="15" t="s">
        <v>72</v>
      </c>
      <c r="C16" s="20" t="n">
        <f aca="false">IFERROR('11. P&amp;L'!B16/'11. P&amp;L'!B5,0)</f>
        <v>-0.0985184492197366</v>
      </c>
      <c r="D16" s="20" t="n">
        <f aca="false">IFERROR('11. P&amp;L'!C16/'11. P&amp;L'!C5,0)</f>
        <v>0.112810517019891</v>
      </c>
      <c r="E16" s="20" t="n">
        <f aca="false">IFERROR('11. P&amp;L'!D16/'11. P&amp;L'!D5,0)</f>
        <v>0.159366452302319</v>
      </c>
      <c r="F16" s="20" t="n">
        <f aca="false">IFERROR('11. P&amp;L'!E16/'11. P&amp;L'!E5,0)</f>
        <v>0.178902022591639</v>
      </c>
      <c r="G16" s="20" t="n">
        <f aca="false">IFERROR('11. P&amp;L'!F16/'11. P&amp;L'!F5,0)</f>
        <v>0.208418559859008</v>
      </c>
      <c r="H16" s="7" t="s">
        <v>513</v>
      </c>
    </row>
    <row r="17" customFormat="false" ht="15" hidden="false" customHeight="false" outlineLevel="0" collapsed="false">
      <c r="A17" s="6" t="s">
        <v>514</v>
      </c>
      <c r="B17" s="15" t="s">
        <v>87</v>
      </c>
      <c r="C17" s="24" t="n">
        <f aca="false">'11. P&amp;L'!B27</f>
        <v>-2889623989.09091</v>
      </c>
      <c r="D17" s="24" t="n">
        <f aca="false">'11. P&amp;L'!C27</f>
        <v>1517872115.79716</v>
      </c>
      <c r="E17" s="24" t="n">
        <f aca="false">'11. P&amp;L'!D27</f>
        <v>4955246052.72956</v>
      </c>
      <c r="F17" s="24" t="n">
        <f aca="false">'11. P&amp;L'!E27</f>
        <v>9029843579.05082</v>
      </c>
      <c r="G17" s="24" t="n">
        <f aca="false">'11. P&amp;L'!F27</f>
        <v>15255890289.2839</v>
      </c>
      <c r="H17" s="7" t="s">
        <v>515</v>
      </c>
    </row>
    <row r="18" customFormat="false" ht="15" hidden="false" customHeight="false" outlineLevel="0" collapsed="false">
      <c r="A18" s="6" t="s">
        <v>516</v>
      </c>
      <c r="B18" s="15" t="s">
        <v>72</v>
      </c>
      <c r="C18" s="20" t="n">
        <f aca="false">IFERROR('11. P&amp;L'!B27/'11. P&amp;L'!B5,0)</f>
        <v>-0.2261349222938</v>
      </c>
      <c r="D18" s="20" t="n">
        <f aca="false">IFERROR('11. P&amp;L'!C27/'11. P&amp;L'!C5,0)</f>
        <v>0.0368255120838654</v>
      </c>
      <c r="E18" s="20" t="n">
        <f aca="false">IFERROR('11. P&amp;L'!D27/'11. P&amp;L'!D5,0)</f>
        <v>0.0773574722288087</v>
      </c>
      <c r="F18" s="20" t="n">
        <f aca="false">IFERROR('11. P&amp;L'!E27/'11. P&amp;L'!E5,0)</f>
        <v>0.0964419959564799</v>
      </c>
      <c r="G18" s="20" t="n">
        <f aca="false">IFERROR('11. P&amp;L'!F27/'11. P&amp;L'!F5,0)</f>
        <v>0.120392289048005</v>
      </c>
      <c r="H18" s="7" t="s">
        <v>517</v>
      </c>
    </row>
    <row r="19" customFormat="false" ht="19.5" hidden="false" customHeight="true" outlineLevel="0" collapsed="false">
      <c r="A19" s="14" t="s">
        <v>518</v>
      </c>
      <c r="B19" s="14"/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6" t="s">
        <v>519</v>
      </c>
      <c r="B20" s="15" t="s">
        <v>87</v>
      </c>
      <c r="C20" s="24" t="n">
        <f aca="false">'6. BFR &amp; cautions'!B19</f>
        <v>3118802954.54546</v>
      </c>
      <c r="D20" s="24" t="n">
        <f aca="false">'6. BFR &amp; cautions'!C19</f>
        <v>10801524979.1667</v>
      </c>
      <c r="E20" s="24" t="n">
        <f aca="false">'6. BFR &amp; cautions'!D19</f>
        <v>15047548099.4561</v>
      </c>
      <c r="F20" s="24" t="n">
        <f aca="false">'6. BFR &amp; cautions'!E19</f>
        <v>19904910212.8982</v>
      </c>
      <c r="G20" s="24" t="n">
        <f aca="false">'6. BFR &amp; cautions'!F19</f>
        <v>25409635341.8804</v>
      </c>
      <c r="H20" s="7" t="s">
        <v>520</v>
      </c>
    </row>
    <row r="21" customFormat="false" ht="15" hidden="false" customHeight="false" outlineLevel="0" collapsed="false">
      <c r="A21" s="6" t="s">
        <v>521</v>
      </c>
      <c r="B21" s="15" t="s">
        <v>137</v>
      </c>
      <c r="C21" s="39" t="n">
        <f aca="false">IFERROR('6. BFR &amp; cautions'!B19/'11. P&amp;L'!B5*360,0)</f>
        <v>87.865167204391</v>
      </c>
      <c r="D21" s="39" t="n">
        <f aca="false">IFERROR('6. BFR &amp; cautions'!C19/'11. P&amp;L'!C5*360,0)</f>
        <v>94.3411545819237</v>
      </c>
      <c r="E21" s="39" t="n">
        <f aca="false">IFERROR('6. BFR &amp; cautions'!D19/'11. P&amp;L'!D5*360,0)</f>
        <v>84.5678494787739</v>
      </c>
      <c r="F21" s="39" t="n">
        <f aca="false">IFERROR('6. BFR &amp; cautions'!E19/'11. P&amp;L'!E5*360,0)</f>
        <v>76.5329909921381</v>
      </c>
      <c r="G21" s="39" t="n">
        <f aca="false">IFERROR('6. BFR &amp; cautions'!F19/'11. P&amp;L'!F5*360,0)</f>
        <v>72.1875077549441</v>
      </c>
      <c r="H21" s="7" t="s">
        <v>522</v>
      </c>
    </row>
    <row r="22" customFormat="false" ht="15" hidden="false" customHeight="false" outlineLevel="0" collapsed="false">
      <c r="A22" s="6" t="s">
        <v>523</v>
      </c>
      <c r="B22" s="15" t="s">
        <v>137</v>
      </c>
      <c r="C22" s="39" t="n">
        <f aca="false">IFERROR('6. BFR &amp; cautions'!B14/'11. P&amp;L'!B5*360,0)</f>
        <v>120</v>
      </c>
      <c r="D22" s="39" t="n">
        <f aca="false">IFERROR('6. BFR &amp; cautions'!C14/'11. P&amp;L'!C5*360,0)</f>
        <v>110</v>
      </c>
      <c r="E22" s="39" t="n">
        <f aca="false">IFERROR('6. BFR &amp; cautions'!D14/'11. P&amp;L'!D5*360,0)</f>
        <v>100</v>
      </c>
      <c r="F22" s="39" t="n">
        <f aca="false">IFERROR('6. BFR &amp; cautions'!E14/'11. P&amp;L'!E5*360,0)</f>
        <v>95</v>
      </c>
      <c r="G22" s="39" t="n">
        <f aca="false">IFERROR('6. BFR &amp; cautions'!F14/'11. P&amp;L'!F5*360,0)</f>
        <v>90</v>
      </c>
      <c r="H22" s="7" t="s">
        <v>524</v>
      </c>
    </row>
    <row r="23" customFormat="false" ht="15" hidden="false" customHeight="false" outlineLevel="0" collapsed="false">
      <c r="A23" s="6" t="s">
        <v>525</v>
      </c>
      <c r="B23" s="15" t="s">
        <v>87</v>
      </c>
      <c r="C23" s="24" t="n">
        <f aca="false">'6. BFR &amp; cautions'!B9</f>
        <v>12821059772.7273</v>
      </c>
      <c r="D23" s="24" t="n">
        <f aca="false">'6. BFR &amp; cautions'!C9</f>
        <v>18011131113.6364</v>
      </c>
      <c r="E23" s="24" t="n">
        <f aca="false">'6. BFR &amp; cautions'!D9</f>
        <v>24070382384.6154</v>
      </c>
      <c r="F23" s="24" t="n">
        <f aca="false">'6. BFR &amp; cautions'!E9</f>
        <v>31002623972.028</v>
      </c>
      <c r="G23" s="24" t="n">
        <f aca="false">'6. BFR &amp; cautions'!F9</f>
        <v>39626520349.6504</v>
      </c>
      <c r="H23" s="7" t="s">
        <v>526</v>
      </c>
    </row>
    <row r="24" customFormat="false" ht="15" hidden="false" customHeight="false" outlineLevel="0" collapsed="false">
      <c r="A24" s="6" t="s">
        <v>527</v>
      </c>
      <c r="B24" s="15" t="s">
        <v>72</v>
      </c>
      <c r="C24" s="20" t="n">
        <f aca="false">IFERROR('6. BFR &amp; cautions'!B11/'11. P&amp;L'!B5,0)</f>
        <v>0.025083621315225</v>
      </c>
      <c r="D24" s="20" t="n">
        <f aca="false">IFERROR('6. BFR &amp; cautions'!C11/'11. P&amp;L'!C5,0)</f>
        <v>0.0104873519116616</v>
      </c>
      <c r="E24" s="20" t="n">
        <f aca="false">IFERROR('6. BFR &amp; cautions'!D11/'11. P&amp;L'!D5,0)</f>
        <v>0.00864266881844691</v>
      </c>
      <c r="F24" s="20" t="n">
        <f aca="false">IFERROR('6. BFR &amp; cautions'!E11/'11. P&amp;L'!E5,0)</f>
        <v>0.00728462326181594</v>
      </c>
      <c r="G24" s="20" t="n">
        <f aca="false">IFERROR('6. BFR &amp; cautions'!F11/'11. P&amp;L'!F5,0)</f>
        <v>0.00625427608804032</v>
      </c>
      <c r="H24" s="7" t="s">
        <v>528</v>
      </c>
    </row>
    <row r="25" customFormat="false" ht="15" hidden="false" customHeight="false" outlineLevel="0" collapsed="false">
      <c r="A25" s="6" t="s">
        <v>529</v>
      </c>
      <c r="B25" s="15" t="s">
        <v>87</v>
      </c>
      <c r="C25" s="24" t="n">
        <f aca="false">'12. Trésorerie'!B15</f>
        <v>-9025138898.18182</v>
      </c>
      <c r="D25" s="24" t="n">
        <f aca="false">'12. Trésorerie'!C15</f>
        <v>-7346284411.876</v>
      </c>
      <c r="E25" s="24" t="n">
        <f aca="false">'12. Trésorerie'!D15</f>
        <v>-251616539.08335</v>
      </c>
      <c r="F25" s="24" t="n">
        <f aca="false">'12. Trésorerie'!E15</f>
        <v>3747723946.65767</v>
      </c>
      <c r="G25" s="24" t="n">
        <f aca="false">'12. Trésorerie'!F15</f>
        <v>9173042287.69439</v>
      </c>
      <c r="H25" s="7" t="s">
        <v>530</v>
      </c>
    </row>
    <row r="26" customFormat="false" ht="15" hidden="false" customHeight="false" outlineLevel="0" collapsed="false">
      <c r="A26" s="6" t="s">
        <v>531</v>
      </c>
      <c r="B26" s="15" t="s">
        <v>87</v>
      </c>
      <c r="C26" s="24" t="n">
        <f aca="false">'12. Trésorerie'!B25</f>
        <v>-7725138898.18182</v>
      </c>
      <c r="D26" s="24" t="n">
        <f aca="false">'12. Trésorerie'!C25</f>
        <v>-13671423310.0578</v>
      </c>
      <c r="E26" s="24" t="n">
        <f aca="false">'12. Trésorerie'!D25</f>
        <v>-10423039849.1412</v>
      </c>
      <c r="F26" s="24" t="n">
        <f aca="false">'12. Trésorerie'!E25</f>
        <v>-7975315902.4835</v>
      </c>
      <c r="G26" s="24" t="n">
        <f aca="false">'12. Trésorerie'!F25</f>
        <v>597726385.210886</v>
      </c>
      <c r="H26" s="7" t="s">
        <v>532</v>
      </c>
    </row>
    <row r="27" customFormat="false" ht="19.5" hidden="false" customHeight="true" outlineLevel="0" collapsed="false">
      <c r="A27" s="14" t="s">
        <v>533</v>
      </c>
      <c r="B27" s="14"/>
      <c r="C27" s="14"/>
      <c r="D27" s="14"/>
      <c r="E27" s="14"/>
      <c r="F27" s="14"/>
      <c r="G27" s="14"/>
      <c r="H27" s="14"/>
    </row>
    <row r="28" customFormat="false" ht="15" hidden="false" customHeight="false" outlineLevel="0" collapsed="false">
      <c r="A28" s="6" t="s">
        <v>534</v>
      </c>
      <c r="B28" s="15" t="s">
        <v>72</v>
      </c>
      <c r="C28" s="20" t="n">
        <f aca="false">IFERROR(-'11. P&amp;L'!B15/'11. P&amp;L'!B5,0)</f>
        <v>0.192263173059479</v>
      </c>
      <c r="D28" s="20" t="n">
        <f aca="false">IFERROR(-'11. P&amp;L'!C15/'11. P&amp;L'!C5,0)</f>
        <v>0.0726964829643396</v>
      </c>
      <c r="E28" s="20" t="n">
        <f aca="false">IFERROR(-'11. P&amp;L'!D15/'11. P&amp;L'!D5,0)</f>
        <v>0.055878826833084</v>
      </c>
      <c r="F28" s="20" t="n">
        <f aca="false">IFERROR(-'11. P&amp;L'!E15/'11. P&amp;L'!E5,0)</f>
        <v>0.0446610006874568</v>
      </c>
      <c r="G28" s="20" t="n">
        <f aca="false">IFERROR(-'11. P&amp;L'!F15/'11. P&amp;L'!F5,0)</f>
        <v>0.0374279401378468</v>
      </c>
      <c r="H28" s="7" t="s">
        <v>535</v>
      </c>
    </row>
    <row r="29" customFormat="false" ht="15" hidden="false" customHeight="false" outlineLevel="0" collapsed="false">
      <c r="A29" s="6" t="s">
        <v>536</v>
      </c>
      <c r="B29" s="15" t="s">
        <v>72</v>
      </c>
      <c r="C29" s="20" t="n">
        <f aca="false">IFERROR(-'11. P&amp;L'!B24/'11. P&amp;L'!B5,0)</f>
        <v>0.0652060690871967</v>
      </c>
      <c r="D29" s="20" t="n">
        <f aca="false">IFERROR(-'11. P&amp;L'!C24/'11. P&amp;L'!C5,0)</f>
        <v>0.0357871357088301</v>
      </c>
      <c r="E29" s="20" t="n">
        <f aca="false">IFERROR(-'11. P&amp;L'!D24/'11. P&amp;L'!D5,0)</f>
        <v>0.0289090896097254</v>
      </c>
      <c r="F29" s="20" t="n">
        <f aca="false">IFERROR(-'11. P&amp;L'!E24/'11. P&amp;L'!E5,0)</f>
        <v>0.0243061728999498</v>
      </c>
      <c r="G29" s="20" t="n">
        <f aca="false">IFERROR(-'11. P&amp;L'!F24/'11. P&amp;L'!F5,0)</f>
        <v>0.0214024146935179</v>
      </c>
      <c r="H29" s="7" t="s">
        <v>537</v>
      </c>
    </row>
    <row r="30" customFormat="false" ht="15" hidden="false" customHeight="false" outlineLevel="0" collapsed="false">
      <c r="A30" s="6" t="s">
        <v>538</v>
      </c>
      <c r="B30" s="15" t="s">
        <v>539</v>
      </c>
      <c r="C30" s="38" t="n">
        <f aca="false">IFERROR('11. P&amp;L'!B16/(-'11. P&amp;L'!B24),0)</f>
        <v>-1.51087852095474</v>
      </c>
      <c r="D30" s="38" t="n">
        <f aca="false">IFERROR('11. P&amp;L'!C16/(-'11. P&amp;L'!C24),0)</f>
        <v>3.15226448793598</v>
      </c>
      <c r="E30" s="38" t="n">
        <f aca="false">IFERROR('11. P&amp;L'!D16/(-'11. P&amp;L'!D24),0)</f>
        <v>5.51267627081228</v>
      </c>
      <c r="F30" s="38" t="n">
        <f aca="false">IFERROR('11. P&amp;L'!E16/(-'11. P&amp;L'!E24),0)</f>
        <v>7.36035341014168</v>
      </c>
      <c r="G30" s="38" t="n">
        <f aca="false">IFERROR('11. P&amp;L'!F16/(-'11. P&amp;L'!F24),0)</f>
        <v>9.73808623202368</v>
      </c>
      <c r="H30" s="7" t="s">
        <v>540</v>
      </c>
    </row>
    <row r="31" customFormat="false" ht="19.5" hidden="false" customHeight="true" outlineLevel="0" collapsed="false">
      <c r="A31" s="14" t="s">
        <v>541</v>
      </c>
      <c r="B31" s="14"/>
      <c r="C31" s="14"/>
      <c r="D31" s="14"/>
      <c r="E31" s="14"/>
      <c r="F31" s="14"/>
      <c r="G31" s="14"/>
      <c r="H31" s="14"/>
    </row>
    <row r="32" customFormat="false" ht="15" hidden="false" customHeight="false" outlineLevel="0" collapsed="false">
      <c r="A32" s="6" t="s">
        <v>542</v>
      </c>
      <c r="B32" s="15" t="s">
        <v>174</v>
      </c>
      <c r="C32" s="19" t="n">
        <f aca="false">'2. Hypothèses'!$C$54+'2. Hypothèses'!$C$56+'2. Hypothèses'!$C$58+'2. Hypothèses'!$C$60</f>
        <v>84</v>
      </c>
      <c r="D32" s="19" t="n">
        <f aca="false">'2. Hypothèses'!$D$54+'2. Hypothèses'!$D$56+'2. Hypothèses'!$D$58+'2. Hypothèses'!$D$60</f>
        <v>102</v>
      </c>
      <c r="E32" s="19" t="n">
        <f aca="false">'2. Hypothèses'!$E$54+'2. Hypothèses'!$E$56+'2. Hypothèses'!$E$58+'2. Hypothèses'!$E$60</f>
        <v>120</v>
      </c>
      <c r="F32" s="19" t="n">
        <f aca="false">'2. Hypothèses'!$F$54+'2. Hypothèses'!$F$56+'2. Hypothèses'!$F$58+'2. Hypothèses'!$F$60</f>
        <v>138</v>
      </c>
      <c r="G32" s="19" t="n">
        <f aca="false">'2. Hypothèses'!$G$54+'2. Hypothèses'!$G$56+'2. Hypothèses'!$G$58+'2. Hypothèses'!$G$60</f>
        <v>152</v>
      </c>
      <c r="H32" s="7" t="s">
        <v>543</v>
      </c>
    </row>
    <row r="33" customFormat="false" ht="15" hidden="false" customHeight="false" outlineLevel="0" collapsed="false">
      <c r="A33" s="6" t="s">
        <v>544</v>
      </c>
      <c r="B33" s="15" t="s">
        <v>87</v>
      </c>
      <c r="C33" s="22" t="n">
        <f aca="false">IFERROR('11. P&amp;L'!B5/C32,0)</f>
        <v>152122835.497836</v>
      </c>
      <c r="D33" s="22" t="n">
        <f aca="false">IFERROR('11. P&amp;L'!C5/D32,0)</f>
        <v>404097549.019608</v>
      </c>
      <c r="E33" s="22" t="n">
        <f aca="false">IFERROR('11. P&amp;L'!D5/E32,0)</f>
        <v>533803857.808858</v>
      </c>
      <c r="F33" s="22" t="n">
        <f aca="false">IFERROR('11. P&amp;L'!E5/F32,0)</f>
        <v>678476720.381068</v>
      </c>
      <c r="G33" s="22" t="n">
        <f aca="false">IFERROR('11. P&amp;L'!F5/G32,0)</f>
        <v>833672156.790578</v>
      </c>
      <c r="H33" s="7" t="s">
        <v>545</v>
      </c>
    </row>
    <row r="34" customFormat="false" ht="15" hidden="false" customHeight="false" outlineLevel="0" collapsed="false">
      <c r="A34" s="6" t="s">
        <v>546</v>
      </c>
      <c r="B34" s="15" t="s">
        <v>87</v>
      </c>
      <c r="C34" s="22" t="n">
        <f aca="false">IFERROR('11. P&amp;L'!B5/'3. Pipeline &amp; Backlog'!B7,0)</f>
        <v>1419813131.31313</v>
      </c>
      <c r="D34" s="22" t="n">
        <f aca="false">IFERROR('11. P&amp;L'!C5/'3. Pipeline &amp; Backlog'!C7,0)</f>
        <v>3434829166.66667</v>
      </c>
      <c r="E34" s="22" t="n">
        <f aca="false">IFERROR('11. P&amp;L'!D5/'3. Pipeline &amp; Backlog'!D7,0)</f>
        <v>4003528933.56643</v>
      </c>
      <c r="F34" s="22" t="n">
        <f aca="false">IFERROR('11. P&amp;L'!E5/'3. Pipeline &amp; Backlog'!E7,0)</f>
        <v>4927883548.03092</v>
      </c>
      <c r="G34" s="22" t="n">
        <f aca="false">IFERROR('11. P&amp;L'!F5/'3. Pipeline &amp; Backlog'!F7,0)</f>
        <v>5509485557.92034</v>
      </c>
      <c r="H34" s="7" t="s">
        <v>547</v>
      </c>
    </row>
  </sheetData>
  <mergeCells count="6">
    <mergeCell ref="A1:H1"/>
    <mergeCell ref="A4:H4"/>
    <mergeCell ref="A12:H12"/>
    <mergeCell ref="A19:H19"/>
    <mergeCell ref="A27:H27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22"/>
    <col collapsed="false" customWidth="true" hidden="false" outlineLevel="0" max="7" min="5" style="0" width="4"/>
    <col collapsed="false" customWidth="true" hidden="false" outlineLevel="0" max="8" min="8" style="0" width="25"/>
  </cols>
  <sheetData>
    <row r="1" customFormat="false" ht="30" hidden="false" customHeight="true" outlineLevel="0" collapsed="false">
      <c r="A1" s="1" t="s">
        <v>548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5" t="s">
        <v>217</v>
      </c>
      <c r="B3" s="5" t="s">
        <v>549</v>
      </c>
      <c r="C3" s="5" t="s">
        <v>550</v>
      </c>
      <c r="D3" s="5" t="s">
        <v>551</v>
      </c>
      <c r="E3" s="5"/>
      <c r="F3" s="5"/>
      <c r="G3" s="5"/>
      <c r="H3" s="5" t="s">
        <v>69</v>
      </c>
    </row>
    <row r="4" customFormat="false" ht="19.5" hidden="false" customHeight="true" outlineLevel="0" collapsed="false">
      <c r="A4" s="14" t="s">
        <v>552</v>
      </c>
      <c r="B4" s="14"/>
      <c r="C4" s="14"/>
      <c r="D4" s="14"/>
      <c r="E4" s="14"/>
      <c r="F4" s="14"/>
      <c r="G4" s="14"/>
      <c r="H4" s="14"/>
    </row>
    <row r="5" customFormat="false" ht="15" hidden="false" customHeight="false" outlineLevel="0" collapsed="false">
      <c r="A5" s="7" t="s">
        <v>553</v>
      </c>
      <c r="B5" s="16" t="n">
        <v>-0.1</v>
      </c>
      <c r="C5" s="17" t="n">
        <v>0</v>
      </c>
      <c r="D5" s="16" t="n">
        <v>0.07</v>
      </c>
      <c r="H5" s="7" t="s">
        <v>554</v>
      </c>
    </row>
    <row r="6" customFormat="false" ht="15" hidden="false" customHeight="false" outlineLevel="0" collapsed="false">
      <c r="A6" s="7" t="s">
        <v>507</v>
      </c>
      <c r="B6" s="16" t="n">
        <v>-0.03</v>
      </c>
      <c r="C6" s="17" t="n">
        <v>0</v>
      </c>
      <c r="D6" s="16" t="n">
        <v>0.02</v>
      </c>
      <c r="H6" s="7" t="s">
        <v>554</v>
      </c>
    </row>
    <row r="7" customFormat="false" ht="15" hidden="false" customHeight="false" outlineLevel="0" collapsed="false">
      <c r="A7" s="7" t="s">
        <v>555</v>
      </c>
      <c r="B7" s="17" t="n">
        <v>25</v>
      </c>
      <c r="C7" s="17" t="n">
        <v>0</v>
      </c>
      <c r="D7" s="17" t="n">
        <v>-15</v>
      </c>
      <c r="H7" s="7" t="s">
        <v>556</v>
      </c>
    </row>
    <row r="8" customFormat="false" ht="15" hidden="false" customHeight="false" outlineLevel="0" collapsed="false">
      <c r="A8" s="7" t="s">
        <v>557</v>
      </c>
      <c r="B8" s="16" t="n">
        <v>-0.03</v>
      </c>
      <c r="C8" s="17" t="n">
        <v>0</v>
      </c>
      <c r="D8" s="16" t="n">
        <v>0.03</v>
      </c>
      <c r="H8" s="7" t="s">
        <v>554</v>
      </c>
    </row>
    <row r="9" customFormat="false" ht="15" hidden="false" customHeight="false" outlineLevel="0" collapsed="false">
      <c r="A9" s="7" t="s">
        <v>558</v>
      </c>
      <c r="B9" s="16" t="n">
        <v>0.15</v>
      </c>
      <c r="C9" s="17" t="n">
        <v>0</v>
      </c>
      <c r="D9" s="16" t="n">
        <v>-0.08</v>
      </c>
      <c r="H9" s="7" t="s">
        <v>559</v>
      </c>
    </row>
    <row r="11" customFormat="false" ht="19.5" hidden="false" customHeight="true" outlineLevel="0" collapsed="false">
      <c r="A11" s="14" t="s">
        <v>560</v>
      </c>
      <c r="B11" s="14"/>
      <c r="C11" s="14"/>
      <c r="D11" s="14"/>
      <c r="E11" s="14"/>
      <c r="F11" s="14"/>
      <c r="G11" s="14"/>
      <c r="H11" s="14"/>
    </row>
    <row r="12" customFormat="false" ht="15" hidden="false" customHeight="false" outlineLevel="0" collapsed="false">
      <c r="A12" s="6" t="s">
        <v>495</v>
      </c>
      <c r="B12" s="25" t="n">
        <f aca="false">C12*0.78</f>
        <v>49964041090.9091</v>
      </c>
      <c r="C12" s="25" t="n">
        <f aca="false">'11. P&amp;L'!D5</f>
        <v>64056462937.0629</v>
      </c>
      <c r="D12" s="25" t="n">
        <f aca="false">C12*1.15</f>
        <v>73664932377.6224</v>
      </c>
    </row>
    <row r="13" customFormat="false" ht="15" hidden="false" customHeight="false" outlineLevel="0" collapsed="false">
      <c r="A13" s="6" t="s">
        <v>507</v>
      </c>
      <c r="B13" s="25" t="n">
        <f aca="false">B12*(IFERROR('11. P&amp;L'!D12/'11. P&amp;L'!D5,0)-0.03)</f>
        <v>9255602738.61819</v>
      </c>
      <c r="C13" s="25" t="n">
        <f aca="false">'11. P&amp;L'!D12</f>
        <v>13787851245.3147</v>
      </c>
      <c r="D13" s="25" t="n">
        <f aca="false">D12*(IFERROR('11. P&amp;L'!D12/'11. P&amp;L'!D5,0)+0.02)</f>
        <v>17329327579.6643</v>
      </c>
    </row>
    <row r="14" customFormat="false" ht="15" hidden="false" customHeight="false" outlineLevel="0" collapsed="false">
      <c r="A14" s="6" t="s">
        <v>475</v>
      </c>
      <c r="B14" s="25" t="n">
        <f aca="false">C14*1.15</f>
        <v>4116310000</v>
      </c>
      <c r="C14" s="25" t="n">
        <f aca="false">-'11. P&amp;L'!D15</f>
        <v>3579400000</v>
      </c>
      <c r="D14" s="25" t="n">
        <f aca="false">C14*0.92</f>
        <v>3293048000</v>
      </c>
    </row>
    <row r="15" customFormat="false" ht="15" hidden="false" customHeight="false" outlineLevel="0" collapsed="false">
      <c r="A15" s="33" t="s">
        <v>457</v>
      </c>
      <c r="B15" s="34" t="n">
        <f aca="false">B13-B14</f>
        <v>5139292738.61819</v>
      </c>
      <c r="C15" s="34" t="n">
        <f aca="false">C13-C14</f>
        <v>10208451245.3147</v>
      </c>
      <c r="D15" s="34" t="n">
        <f aca="false">D13-D14</f>
        <v>14036279579.6643</v>
      </c>
    </row>
    <row r="16" customFormat="false" ht="15" hidden="false" customHeight="false" outlineLevel="0" collapsed="false">
      <c r="A16" s="7" t="s">
        <v>512</v>
      </c>
      <c r="B16" s="36" t="n">
        <f aca="false">IFERROR(B15/B12,0)</f>
        <v>0.102859829317394</v>
      </c>
      <c r="C16" s="36" t="n">
        <f aca="false">IFERROR(C15/C12,0)</f>
        <v>0.159366452302319</v>
      </c>
      <c r="D16" s="36" t="n">
        <f aca="false">IFERROR(D15/D12,0)</f>
        <v>0.190542217668936</v>
      </c>
    </row>
    <row r="17" customFormat="false" ht="15" hidden="false" customHeight="false" outlineLevel="0" collapsed="false">
      <c r="A17" s="6" t="s">
        <v>519</v>
      </c>
      <c r="B17" s="25" t="n">
        <f aca="false">C17*1.22</f>
        <v>18358008681.3365</v>
      </c>
      <c r="C17" s="25" t="n">
        <f aca="false">'6. BFR &amp; cautions'!D19</f>
        <v>15047548099.4561</v>
      </c>
      <c r="D17" s="25" t="n">
        <f aca="false">C17*0.88</f>
        <v>13241842327.5214</v>
      </c>
    </row>
    <row r="19" customFormat="false" ht="19.5" hidden="false" customHeight="true" outlineLevel="0" collapsed="false">
      <c r="A19" s="14" t="s">
        <v>561</v>
      </c>
      <c r="B19" s="14"/>
      <c r="C19" s="14"/>
      <c r="D19" s="14"/>
      <c r="E19" s="14"/>
      <c r="F19" s="14"/>
      <c r="G19" s="14"/>
      <c r="H19" s="14"/>
    </row>
    <row r="20" customFormat="false" ht="15" hidden="false" customHeight="false" outlineLevel="0" collapsed="false">
      <c r="A20" s="6" t="s">
        <v>562</v>
      </c>
      <c r="B20" s="23" t="n">
        <f aca="false">(C17-B17)+(C15-B15)</f>
        <v>1758697924.81616</v>
      </c>
      <c r="C20" s="23" t="n">
        <v>0</v>
      </c>
      <c r="D20" s="23" t="n">
        <f aca="false">(C17-D17)+(D15-C15)</f>
        <v>5633534106.28438</v>
      </c>
    </row>
  </sheetData>
  <mergeCells count="4">
    <mergeCell ref="A1:H1"/>
    <mergeCell ref="A4:H4"/>
    <mergeCell ref="A11:H11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2026-05-11T16:48:28Z</dcterms:created>
  <dc:creator>openpyxl</dc:creator>
  <dc:description/>
  <dc:language>en-US</dc:language>
  <cp:lastModifiedBy/>
  <dcterms:modified xsi:type="dcterms:W3CDTF">2026-05-11T16:48:28Z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