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ice" sheetId="1" state="visible" r:id="rId3"/>
    <sheet name="Hypothèses" sheetId="2" state="visible" r:id="rId4"/>
    <sheet name="Portefeuille" sheetId="3" state="visible" r:id="rId5"/>
    <sheet name="Primes" sheetId="4" state="visible" r:id="rId6"/>
    <sheet name="Sinistres" sheetId="5" state="visible" r:id="rId7"/>
    <sheet name="Provisions techniques" sheetId="6" state="visible" r:id="rId8"/>
    <sheet name="Placements" sheetId="7" state="visible" r:id="rId9"/>
    <sheet name="P_L technique" sheetId="8" state="visible" r:id="rId10"/>
    <sheet name="P_L global" sheetId="9" state="visible" r:id="rId11"/>
    <sheet name="Bilan" sheetId="10" state="visible" r:id="rId12"/>
    <sheet name="Marge solvabilité" sheetId="11" state="visible" r:id="rId13"/>
    <sheet name="KPIs" sheetId="12" state="visible" r:id="rId14"/>
    <sheet name="Stress tests" sheetId="13" state="visible" r:id="rId15"/>
    <sheet name="Scénarios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<sst xmlns="http://schemas.openxmlformats.org/spreadsheetml/2006/main" count="390" uniqueCount="328">
  <si>
    <t xml:space="preserve">MODÈLE FINANCIER — ASSURANCE CIMA (Vie + Non-Vie)</t>
  </si>
  <si>
    <t xml:space="preserve">H&amp;C Group — Référence multisectorielle</t>
  </si>
  <si>
    <t xml:space="preserve">Conformité : Code CIMA — IFRS 17 (option) — SYSCOHADA</t>
  </si>
  <si>
    <t xml:space="preserve">1. OBJET DU MODÈLE</t>
  </si>
  <si>
    <t xml:space="preserve">Objet</t>
  </si>
  <si>
    <t xml:space="preserve">Plan d'affaires sur 5 ans d'une compagnie d'assurance mixte (Vie + Non-Vie) de zone CIMA. Modèle de référence H&amp;C Group pour les équipes développement et directions financières.</t>
  </si>
  <si>
    <t xml:space="preserve">Périmètre</t>
  </si>
  <si>
    <t xml:space="preserve">Souscription, sinistralité, provisions techniques CIMA, placements, P&amp;L technique et non-technique, marge de solvabilité réglementaire CIMA.</t>
  </si>
  <si>
    <t xml:space="preserve">Hypothèses clés</t>
  </si>
  <si>
    <t xml:space="preserve">Portefeuille polices Vie/Non-Vie, taux de chargement, loss ratio, fréquence sinistres, taux technique des PM, rendement des placements.</t>
  </si>
  <si>
    <t xml:space="preserve">2. STRUCTURE DU MODÈLE</t>
  </si>
  <si>
    <t xml:space="preserve">Hypothèses</t>
  </si>
  <si>
    <t xml:space="preserve">Macro, portefeuille, sinistralité, placements, fiscalité</t>
  </si>
  <si>
    <t xml:space="preserve">Portefeuille</t>
  </si>
  <si>
    <t xml:space="preserve">Polices Vie et Non-Vie par branche</t>
  </si>
  <si>
    <t xml:space="preserve">Primes</t>
  </si>
  <si>
    <t xml:space="preserve">Émissions, acquises, cédées en réassurance</t>
  </si>
  <si>
    <t xml:space="preserve">Sinistres</t>
  </si>
  <si>
    <t xml:space="preserve">Charges, IBNR, frais de gestion</t>
  </si>
  <si>
    <t xml:space="preserve">Provisions techniques</t>
  </si>
  <si>
    <t xml:space="preserve">PM, PSAP, PPNA, PREC</t>
  </si>
  <si>
    <t xml:space="preserve">Placements</t>
  </si>
  <si>
    <t xml:space="preserve">Allocation, rendements, RTE</t>
  </si>
  <si>
    <t xml:space="preserve">P_L technique</t>
  </si>
  <si>
    <t xml:space="preserve">Compte technique Vie + Non-Vie séparés</t>
  </si>
  <si>
    <t xml:space="preserve">P_L global</t>
  </si>
  <si>
    <t xml:space="preserve">P&amp;L non-technique consolidé</t>
  </si>
  <si>
    <t xml:space="preserve">Bilan</t>
  </si>
  <si>
    <t xml:space="preserve">Actif (placements + créances) / Passif (PM + capitaux propres)</t>
  </si>
  <si>
    <t xml:space="preserve">Marge solvabilité</t>
  </si>
  <si>
    <t xml:space="preserve">Calcul marge réglementaire CIMA</t>
  </si>
  <si>
    <t xml:space="preserve">KPIs</t>
  </si>
  <si>
    <t xml:space="preserve">Loss ratio, expense ratio, ratio combiné, persistance</t>
  </si>
  <si>
    <t xml:space="preserve">Stress tests</t>
  </si>
  <si>
    <t xml:space="preserve">Choc sinistralité, choc liquidité, choc rendement</t>
  </si>
  <si>
    <t xml:space="preserve">Scénarios</t>
  </si>
  <si>
    <t xml:space="preserve">Vue comparée Pess/Base/Opt</t>
  </si>
  <si>
    <t xml:space="preserve">3. CODE COULEUR</t>
  </si>
  <si>
    <t xml:space="preserve">Bleu (input)</t>
  </si>
  <si>
    <t xml:space="preserve">Cellule saisie manuellement — hypothèse modifiable</t>
  </si>
  <si>
    <t xml:space="preserve">Noir (formule)</t>
  </si>
  <si>
    <t xml:space="preserve">Cellule calculée automatiquement</t>
  </si>
  <si>
    <t xml:space="preserve">Vert (lien)</t>
  </si>
  <si>
    <t xml:space="preserve">Lien vers une autre feuille du classeur</t>
  </si>
  <si>
    <t xml:space="preserve">Fond jaune</t>
  </si>
  <si>
    <t xml:space="preserve">Hypothèse clé</t>
  </si>
  <si>
    <t xml:space="preserve">Bandeau navy</t>
  </si>
  <si>
    <t xml:space="preserve">Titre / en-tête</t>
  </si>
  <si>
    <t xml:space="preserve">Bandeau or</t>
  </si>
  <si>
    <t xml:space="preserve">Sous-titre</t>
  </si>
  <si>
    <t xml:space="preserve">HYPOTHÈSES — ASSURANCE CIMA</t>
  </si>
  <si>
    <t xml:space="preserve">Y1 (2026)</t>
  </si>
  <si>
    <t xml:space="preserve">Y2 (2027)</t>
  </si>
  <si>
    <t xml:space="preserve">Y3 (2028)</t>
  </si>
  <si>
    <t xml:space="preserve">Y4 (2029)</t>
  </si>
  <si>
    <t xml:space="preserve">Y5 (2030)</t>
  </si>
  <si>
    <t xml:space="preserve">1. MACRO &amp; FISCALITÉ</t>
  </si>
  <si>
    <t xml:space="preserve">Inflation (%)</t>
  </si>
  <si>
    <t xml:space="preserve">Zone CFA</t>
  </si>
  <si>
    <t xml:space="preserve">Taux IS (%)</t>
  </si>
  <si>
    <t xml:space="preserve">Standard CIMA</t>
  </si>
  <si>
    <t xml:space="preserve">Taxe d'assurance Non-Vie (%)</t>
  </si>
  <si>
    <t xml:space="preserve">Variable selon branches</t>
  </si>
  <si>
    <t xml:space="preserve">Charges patronales (%)</t>
  </si>
  <si>
    <t xml:space="preserve">2. PORTEFEUILLE VIE</t>
  </si>
  <si>
    <t xml:space="preserve">Polices Vie actives (milliers)</t>
  </si>
  <si>
    <t xml:space="preserve">Croissance soutenue</t>
  </si>
  <si>
    <t xml:space="preserve">Prime moyenne / police Vie (k FCFA)</t>
  </si>
  <si>
    <t xml:space="preserve">Taux de chute / lapse Vie (%)</t>
  </si>
  <si>
    <t xml:space="preserve">Sortie portefeuille</t>
  </si>
  <si>
    <t xml:space="preserve">Taux de rachat moyen Vie (%)</t>
  </si>
  <si>
    <t xml:space="preserve">Taux technique PM (%)</t>
  </si>
  <si>
    <t xml:space="preserve">Taux actuariel</t>
  </si>
  <si>
    <t xml:space="preserve">Participation aux bénéfices Vie (%)</t>
  </si>
  <si>
    <t xml:space="preserve">% résultat technique</t>
  </si>
  <si>
    <t xml:space="preserve">3. PORTEFEUILLE NON-VIE</t>
  </si>
  <si>
    <t xml:space="preserve">Polices Non-Vie automobile (k)</t>
  </si>
  <si>
    <t xml:space="preserve">Polices Non-Vie entreprises (k)</t>
  </si>
  <si>
    <t xml:space="preserve">Polices Non-Vie santé (k)</t>
  </si>
  <si>
    <t xml:space="preserve">Forte croissance</t>
  </si>
  <si>
    <t xml:space="preserve">Prime moyenne auto (k FCFA)</t>
  </si>
  <si>
    <t xml:space="preserve">RC + dommages</t>
  </si>
  <si>
    <t xml:space="preserve">Prime moyenne entreprises (k FCFA)</t>
  </si>
  <si>
    <t xml:space="preserve">Prime moyenne santé (k FCFA)</t>
  </si>
  <si>
    <t xml:space="preserve">4. SINISTRALITÉ NON-VIE</t>
  </si>
  <si>
    <t xml:space="preserve">Loss ratio automobile (%)</t>
  </si>
  <si>
    <t xml:space="preserve">Sinistres/primes acquises</t>
  </si>
  <si>
    <t xml:space="preserve">Loss ratio entreprises (%)</t>
  </si>
  <si>
    <t xml:space="preserve">Meilleure sélection</t>
  </si>
  <si>
    <t xml:space="preserve">Loss ratio santé (%)</t>
  </si>
  <si>
    <t xml:space="preserve">Taux d'IBNR (% sinistres déclarés)</t>
  </si>
  <si>
    <t xml:space="preserve">Sinistres tardifs</t>
  </si>
  <si>
    <t xml:space="preserve">5. SINISTRALITÉ VIE</t>
  </si>
  <si>
    <t xml:space="preserve">Sinistres Vie (% PM moyennes)</t>
  </si>
  <si>
    <t xml:space="preserve">Décès + rachats</t>
  </si>
  <si>
    <t xml:space="preserve">6. FRAIS</t>
  </si>
  <si>
    <t xml:space="preserve">Frais d'acquisition Vie (% primes)</t>
  </si>
  <si>
    <t xml:space="preserve">Commissions agents</t>
  </si>
  <si>
    <t xml:space="preserve">Frais d'acquisition Non-Vie (% primes)</t>
  </si>
  <si>
    <t xml:space="preserve">Frais d'administration (% primes)</t>
  </si>
  <si>
    <t xml:space="preserve">Frais de gestion sinistres (% sinistres)</t>
  </si>
  <si>
    <t xml:space="preserve">7. RÉASSURANCE</t>
  </si>
  <si>
    <t xml:space="preserve">Taux de cession en réassurance Non-Vie (%)</t>
  </si>
  <si>
    <t xml:space="preserve">Conservation 75%</t>
  </si>
  <si>
    <t xml:space="preserve">Commission de réassurance perçue (% cédé)</t>
  </si>
  <si>
    <t xml:space="preserve">Rétrocession</t>
  </si>
  <si>
    <t xml:space="preserve">Taux de cession Vie (%)</t>
  </si>
  <si>
    <t xml:space="preserve">Plus faible en Vie</t>
  </si>
  <si>
    <t xml:space="preserve">8. PLACEMENTS — Allocation &amp; Rendements</t>
  </si>
  <si>
    <t xml:space="preserve">% Obligations d'État zone CIMA</t>
  </si>
  <si>
    <t xml:space="preserve">RTE éligible</t>
  </si>
  <si>
    <t xml:space="preserve">% Dépôts bancaires</t>
  </si>
  <si>
    <t xml:space="preserve">% Immobilier</t>
  </si>
  <si>
    <t xml:space="preserve">Long terme</t>
  </si>
  <si>
    <t xml:space="preserve">% Actions cotées &amp; non cotées</t>
  </si>
  <si>
    <t xml:space="preserve">Limitées CIMA</t>
  </si>
  <si>
    <t xml:space="preserve">% Autres placements</t>
  </si>
  <si>
    <t xml:space="preserve">Rendement obligations (%)</t>
  </si>
  <si>
    <t xml:space="preserve">Rendement dépôts (%)</t>
  </si>
  <si>
    <t xml:space="preserve">Rendement immobilier (%)</t>
  </si>
  <si>
    <t xml:space="preserve">Rendement actions (%)</t>
  </si>
  <si>
    <t xml:space="preserve">Risque élevé</t>
  </si>
  <si>
    <t xml:space="preserve">Rendement autres (%)</t>
  </si>
  <si>
    <t xml:space="preserve">9. CAPITAL &amp; DIVIDENDES</t>
  </si>
  <si>
    <t xml:space="preserve">Capital social initial (Md FCFA)</t>
  </si>
  <si>
    <t xml:space="preserve">Minimum CIMA = 5 Md</t>
  </si>
  <si>
    <t xml:space="preserve">Distribution dividendes (% RN)</t>
  </si>
  <si>
    <t xml:space="preserve">PORTEFEUILLE POLICES (Vie + Non-Vie)</t>
  </si>
  <si>
    <t xml:space="preserve">POLICES VIE</t>
  </si>
  <si>
    <t xml:space="preserve">Polices Vie actives (k)</t>
  </si>
  <si>
    <t xml:space="preserve">Prime moyenne (k FCFA)</t>
  </si>
  <si>
    <t xml:space="preserve">CA Vie potentiel (Md FCFA)</t>
  </si>
  <si>
    <t xml:space="preserve">POLICES NON-VIE — AUTOMOBILE</t>
  </si>
  <si>
    <t xml:space="preserve">Polices auto actives (k)</t>
  </si>
  <si>
    <t xml:space="preserve">Primes auto (Md FCFA)</t>
  </si>
  <si>
    <t xml:space="preserve">POLICES NON-VIE — ENTREPRISES</t>
  </si>
  <si>
    <t xml:space="preserve">Polices entreprises (k)</t>
  </si>
  <si>
    <t xml:space="preserve">Primes entreprises (Md FCFA)</t>
  </si>
  <si>
    <t xml:space="preserve">POLICES NON-VIE — SANTÉ</t>
  </si>
  <si>
    <t xml:space="preserve">Polices santé (k)</t>
  </si>
  <si>
    <t xml:space="preserve">Primes santé (Md FCFA)</t>
  </si>
  <si>
    <t xml:space="preserve">TOTAUX</t>
  </si>
  <si>
    <t xml:space="preserve">Total primes Non-Vie (Md FCFA)</t>
  </si>
  <si>
    <t xml:space="preserve">Total primes Vie + Non-Vie (Md FCFA)</t>
  </si>
  <si>
    <t xml:space="preserve">PRIMES — ÉMISSIONS, ACQUISES, CESSIONS RÉASSURANCE</t>
  </si>
  <si>
    <t xml:space="preserve">PRIMES ÉMISES (Md FCFA)</t>
  </si>
  <si>
    <t xml:space="preserve">Primes émises Vie</t>
  </si>
  <si>
    <t xml:space="preserve">Primes émises Non-Vie</t>
  </si>
  <si>
    <t xml:space="preserve">Total primes émises</t>
  </si>
  <si>
    <t xml:space="preserve">PRIMES ACQUISES (Md FCFA)</t>
  </si>
  <si>
    <t xml:space="preserve">Primes acquises Vie (~ primes émises)</t>
  </si>
  <si>
    <t xml:space="preserve">Primes acquises Non-Vie (approxim. 92%)</t>
  </si>
  <si>
    <t xml:space="preserve">Variation PPNA (Non-Vie)</t>
  </si>
  <si>
    <t xml:space="preserve">Total primes acquises</t>
  </si>
  <si>
    <t xml:space="preserve">RÉASSURANCE CÉDÉE</t>
  </si>
  <si>
    <t xml:space="preserve">Primes cédées Vie (Md FCFA)</t>
  </si>
  <si>
    <t xml:space="preserve">Primes cédées Non-Vie (Md FCFA)</t>
  </si>
  <si>
    <t xml:space="preserve">Total primes cédées</t>
  </si>
  <si>
    <t xml:space="preserve">Commission de réassurance perçue</t>
  </si>
  <si>
    <t xml:space="preserve">PRIMES ACQUISES NETTES</t>
  </si>
  <si>
    <t xml:space="preserve">Primes acquises nettes (Vie)</t>
  </si>
  <si>
    <t xml:space="preserve">Primes acquises nettes (Non-Vie)</t>
  </si>
  <si>
    <t xml:space="preserve">Total primes acquises nettes</t>
  </si>
  <si>
    <t xml:space="preserve">SINISTRES, FRAIS DE GESTION ET IBNR</t>
  </si>
  <si>
    <t xml:space="preserve">SINISTRES NON-VIE (par branche)</t>
  </si>
  <si>
    <t xml:space="preserve">Sinistres automobile (Md FCFA)</t>
  </si>
  <si>
    <t xml:space="preserve">Sinistres entreprises (Md FCFA)</t>
  </si>
  <si>
    <t xml:space="preserve">Sinistres santé (Md FCFA)</t>
  </si>
  <si>
    <t xml:space="preserve">Sinistres Non-Vie totaux</t>
  </si>
  <si>
    <t xml:space="preserve">SINISTRES VIE</t>
  </si>
  <si>
    <t xml:space="preserve">Sinistres Vie (Md FCFA)</t>
  </si>
  <si>
    <t xml:space="preserve">Total sinistres bruts</t>
  </si>
  <si>
    <t xml:space="preserve">IBNR &amp; PSAP (Md FCFA)</t>
  </si>
  <si>
    <t xml:space="preserve">IBNR Non-Vie (sinistres tardifs)</t>
  </si>
  <si>
    <t xml:space="preserve">PSAP (provision sinistres à payer)</t>
  </si>
  <si>
    <t xml:space="preserve">Charge totale sinistres Non-Vie (avec IBNR)</t>
  </si>
  <si>
    <t xml:space="preserve">FRAIS DE GESTION DES SINISTRES</t>
  </si>
  <si>
    <t xml:space="preserve">Frais de gestion sinistres (Md FCFA)</t>
  </si>
  <si>
    <t xml:space="preserve">PROVISIONS TECHNIQUES — RÉGLEMENTATION CIMA</t>
  </si>
  <si>
    <t xml:space="preserve">PROVISIONS VIE — PROVISIONS MATHÉMATIQUES (PM)</t>
  </si>
  <si>
    <t xml:space="preserve">PM Vie début période (Md FCFA)</t>
  </si>
  <si>
    <t xml:space="preserve">PM Vie fin période (Md FCFA)</t>
  </si>
  <si>
    <t xml:space="preserve">Variation PM (= dotation P&amp;L)</t>
  </si>
  <si>
    <t xml:space="preserve">PROVISIONS NON-VIE</t>
  </si>
  <si>
    <t xml:space="preserve">PPNA (provision primes non acquises)</t>
  </si>
  <si>
    <t xml:space="preserve">Provision pour risques en cours (PREC)</t>
  </si>
  <si>
    <t xml:space="preserve">Total provisions Non-Vie</t>
  </si>
  <si>
    <t xml:space="preserve">TOTAL PROVISIONS TECHNIQUES</t>
  </si>
  <si>
    <t xml:space="preserve">Total provisions techniques (Vie + Non-Vie)</t>
  </si>
  <si>
    <t xml:space="preserve">PLACEMENTS — ALLOCATION &amp; RENDEMENTS</t>
  </si>
  <si>
    <t xml:space="preserve">BASE DES PLACEMENTS</t>
  </si>
  <si>
    <t xml:space="preserve">Total placements (= PM + PSAP + Capital)</t>
  </si>
  <si>
    <t xml:space="preserve">ALLOCATION DES PLACEMENTS (Md FCFA)</t>
  </si>
  <si>
    <t xml:space="preserve">Obligations d'État CIMA</t>
  </si>
  <si>
    <t xml:space="preserve">Dépôts bancaires</t>
  </si>
  <si>
    <t xml:space="preserve">Immobilier</t>
  </si>
  <si>
    <t xml:space="preserve">Actions</t>
  </si>
  <si>
    <t xml:space="preserve">Autres placements</t>
  </si>
  <si>
    <t xml:space="preserve">Total placements</t>
  </si>
  <si>
    <t xml:space="preserve">RENDEMENT DES PLACEMENTS (Md FCFA)</t>
  </si>
  <si>
    <t xml:space="preserve">Rendement obligations</t>
  </si>
  <si>
    <t xml:space="preserve">Rendement dépôts</t>
  </si>
  <si>
    <t xml:space="preserve">Rendement immobilier</t>
  </si>
  <si>
    <t xml:space="preserve">Rendement actions</t>
  </si>
  <si>
    <t xml:space="preserve">Rendement autres</t>
  </si>
  <si>
    <t xml:space="preserve">Total produits des placements</t>
  </si>
  <si>
    <t xml:space="preserve">Rendement global des placements (%)</t>
  </si>
  <si>
    <t xml:space="preserve">RTE (Règlement Trésor Exigible)</t>
  </si>
  <si>
    <t xml:space="preserve">Placements liquides (oblig + dépôts)</t>
  </si>
  <si>
    <t xml:space="preserve">Taux de couverture RTE (%)</t>
  </si>
  <si>
    <t xml:space="preserve">COMPTE TECHNIQUE — VIE ET NON-VIE</t>
  </si>
  <si>
    <t xml:space="preserve">COMPTE TECHNIQUE VIE</t>
  </si>
  <si>
    <t xml:space="preserve">+ Primes acquises nettes Vie</t>
  </si>
  <si>
    <t xml:space="preserve">+ Produits des placements affectés Vie (70%)</t>
  </si>
  <si>
    <t xml:space="preserve">- Sinistres Vie</t>
  </si>
  <si>
    <t xml:space="preserve">- Variation PM</t>
  </si>
  <si>
    <t xml:space="preserve">- Frais d'acquisition Vie</t>
  </si>
  <si>
    <t xml:space="preserve">- Frais d'administration Vie</t>
  </si>
  <si>
    <t xml:space="preserve">Résultat technique Vie</t>
  </si>
  <si>
    <t xml:space="preserve">COMPTE TECHNIQUE NON-VIE</t>
  </si>
  <si>
    <t xml:space="preserve">+ Primes acquises nettes Non-Vie</t>
  </si>
  <si>
    <t xml:space="preserve">+ Produits des placements affectés Non-Vie (30%)</t>
  </si>
  <si>
    <t xml:space="preserve">- Sinistres Non-Vie + IBNR</t>
  </si>
  <si>
    <t xml:space="preserve">+ Commission de réassurance perçue</t>
  </si>
  <si>
    <t xml:space="preserve">- Frais d'acquisition Non-Vie</t>
  </si>
  <si>
    <t xml:space="preserve">- Frais d'administration Non-Vie</t>
  </si>
  <si>
    <t xml:space="preserve">- Frais de gestion sinistres</t>
  </si>
  <si>
    <t xml:space="preserve">Résultat technique Non-Vie</t>
  </si>
  <si>
    <t xml:space="preserve">RÉSULTAT TECHNIQUE TOTAL</t>
  </si>
  <si>
    <t xml:space="preserve">Résultat technique consolidé (Vie + Non-Vie)</t>
  </si>
  <si>
    <t xml:space="preserve">COMPTE DE RÉSULTAT GLOBAL</t>
  </si>
  <si>
    <t xml:space="preserve">RÉSULTAT TECHNIQUE</t>
  </si>
  <si>
    <t xml:space="preserve">Résultat technique (Vie + Non-Vie)</t>
  </si>
  <si>
    <t xml:space="preserve">RÉSULTAT NON-TECHNIQUE</t>
  </si>
  <si>
    <t xml:space="preserve">Autres charges générales (siège, IT, conseil)</t>
  </si>
  <si>
    <t xml:space="preserve">Charges financières (intérêts dette)</t>
  </si>
  <si>
    <t xml:space="preserve">Résultat non-technique</t>
  </si>
  <si>
    <t xml:space="preserve">RÉSULTAT NET</t>
  </si>
  <si>
    <t xml:space="preserve">Résultat avant impôt</t>
  </si>
  <si>
    <t xml:space="preserve">Impôt sur les sociétés</t>
  </si>
  <si>
    <t xml:space="preserve">BILAN ASSURANCE</t>
  </si>
  <si>
    <t xml:space="preserve">ACTIF (Md FCFA)</t>
  </si>
  <si>
    <t xml:space="preserve">Placements totaux</t>
  </si>
  <si>
    <t xml:space="preserve">Créances sur assurés &amp; intermédiaires (15% primes)</t>
  </si>
  <si>
    <t xml:space="preserve">Créances sur réassureurs (20% cessions)</t>
  </si>
  <si>
    <t xml:space="preserve">Immobilisations nettes</t>
  </si>
  <si>
    <t xml:space="preserve">Trésorerie &amp; équivalents</t>
  </si>
  <si>
    <t xml:space="preserve">TOTAL ACTIF</t>
  </si>
  <si>
    <t xml:space="preserve">PASSIF (Md FCFA)</t>
  </si>
  <si>
    <t xml:space="preserve">Provisions techniques (PM + PSAP + PPNA + PREC)</t>
  </si>
  <si>
    <t xml:space="preserve">Dettes envers réassureurs</t>
  </si>
  <si>
    <t xml:space="preserve">Autres dettes</t>
  </si>
  <si>
    <t xml:space="preserve">Capital social</t>
  </si>
  <si>
    <t xml:space="preserve">Réserves</t>
  </si>
  <si>
    <t xml:space="preserve">Résultat de l'exercice</t>
  </si>
  <si>
    <t xml:space="preserve">Total capitaux propres</t>
  </si>
  <si>
    <t xml:space="preserve">TOTAL PASSIF</t>
  </si>
  <si>
    <t xml:space="preserve">CONTRÔLE ÉQUILIBRE</t>
  </si>
  <si>
    <t xml:space="preserve">Écart actif - passif</t>
  </si>
  <si>
    <t xml:space="preserve">MARGE DE SOLVABILITÉ — RÉGLEMENTATION CIMA</t>
  </si>
  <si>
    <t xml:space="preserve">MARGE MINIMALE EXIGÉE</t>
  </si>
  <si>
    <t xml:space="preserve">Min. Non-Vie = max(16% primes, 23% sinistres)</t>
  </si>
  <si>
    <t xml:space="preserve">Min. Vie = 4% des PM</t>
  </si>
  <si>
    <t xml:space="preserve">Marge minimale totale exigée</t>
  </si>
  <si>
    <t xml:space="preserve">MARGE CONSTITUÉE</t>
  </si>
  <si>
    <t xml:space="preserve">Capitaux propres (Bilan)</t>
  </si>
  <si>
    <t xml:space="preserve">Marge constituée totale</t>
  </si>
  <si>
    <t xml:space="preserve">RATIO DE COUVERTURE</t>
  </si>
  <si>
    <t xml:space="preserve">Ratio marge constituée / marge minimale</t>
  </si>
  <si>
    <t xml:space="preserve">Seuil réglementaire CIMA</t>
  </si>
  <si>
    <t xml:space="preserve">Excédent / Insuffisance (Md FCFA)</t>
  </si>
  <si>
    <t xml:space="preserve">TABLEAU DE BORD — INDICATEURS CLÉS</t>
  </si>
  <si>
    <t xml:space="preserve">1. VOLUME &amp; CROISSANCE</t>
  </si>
  <si>
    <t xml:space="preserve">Total primes émises (Md FCFA)</t>
  </si>
  <si>
    <t xml:space="preserve">Croissance primes (%)</t>
  </si>
  <si>
    <t xml:space="preserve">-</t>
  </si>
  <si>
    <t xml:space="preserve">Part Vie / total</t>
  </si>
  <si>
    <t xml:space="preserve">2. RENTABILITÉ TECHNIQUE NON-VIE</t>
  </si>
  <si>
    <t xml:space="preserve">Loss ratio Non-Vie</t>
  </si>
  <si>
    <t xml:space="preserve">Expense ratio Non-Vie</t>
  </si>
  <si>
    <t xml:space="preserve">Ratio combiné Non-Vie</t>
  </si>
  <si>
    <t xml:space="preserve">3. RENTABILITÉ GLOBALE</t>
  </si>
  <si>
    <t xml:space="preserve">Résultat technique Vie (Md FCFA)</t>
  </si>
  <si>
    <t xml:space="preserve">Résultat technique Non-Vie (Md FCFA)</t>
  </si>
  <si>
    <t xml:space="preserve">Résultat net (Md FCFA)</t>
  </si>
  <si>
    <t xml:space="preserve">Marge nette (RN / primes)</t>
  </si>
  <si>
    <t xml:space="preserve">ROE</t>
  </si>
  <si>
    <t xml:space="preserve">4. PORTEFEUILLE VIE</t>
  </si>
  <si>
    <t xml:space="preserve">Taux de chute (lapse)</t>
  </si>
  <si>
    <t xml:space="preserve">Taux de persistance Vie</t>
  </si>
  <si>
    <t xml:space="preserve">5. PLACEMENTS</t>
  </si>
  <si>
    <t xml:space="preserve">Rendement global placements</t>
  </si>
  <si>
    <t xml:space="preserve">RTE / Engagements</t>
  </si>
  <si>
    <t xml:space="preserve">6. SOLVABILITÉ CIMA</t>
  </si>
  <si>
    <t xml:space="preserve">Ratio marge solvabilité</t>
  </si>
  <si>
    <t xml:space="preserve">STRESS TESTS PRUDENTIELS</t>
  </si>
  <si>
    <t xml:space="preserve">RÉFÉRENCE</t>
  </si>
  <si>
    <t xml:space="preserve">Résultat net de base (Md FCFA)</t>
  </si>
  <si>
    <t xml:space="preserve">Ratio combiné de base</t>
  </si>
  <si>
    <t xml:space="preserve">STRESS 1 — CHOC SINISTRALITÉ (loss ratio +10pts)</t>
  </si>
  <si>
    <t xml:space="preserve">Sinistres stressés Non-Vie (+10pts)</t>
  </si>
  <si>
    <t xml:space="preserve">Impact RN (Md FCFA)</t>
  </si>
  <si>
    <t xml:space="preserve">RN stressé</t>
  </si>
  <si>
    <t xml:space="preserve">STRESS 2 — CHOC RENDEMENT PLACEMENTS (-200 bps)</t>
  </si>
  <si>
    <t xml:space="preserve">Perte rendement placements (-2%)</t>
  </si>
  <si>
    <t xml:space="preserve">Impact RN (après IS)</t>
  </si>
  <si>
    <t xml:space="preserve">STRESS 3 — VAGUE DE RACHATS VIE (+50%)</t>
  </si>
  <si>
    <t xml:space="preserve">Rachats supplémentaires (% PM)</t>
  </si>
  <si>
    <t xml:space="preserve">Besoin de liquidité Vie (Md FCFA)</t>
  </si>
  <si>
    <t xml:space="preserve">VUE COMPARÉE — SCÉNARIOS PESS/BASE/OPT</t>
  </si>
  <si>
    <t xml:space="preserve">Note : Vue synthétique. Les scénarios pessimiste et optimiste sont des sensibilités appliquées au scénario de base (Y5).</t>
  </si>
  <si>
    <t xml:space="preserve">KPI</t>
  </si>
  <si>
    <t xml:space="preserve">Pessimiste (Y5)</t>
  </si>
  <si>
    <t xml:space="preserve">Base (Y5)</t>
  </si>
  <si>
    <t xml:space="preserve">Optimiste (Y5)</t>
  </si>
  <si>
    <t xml:space="preserve">Sensibilité</t>
  </si>
  <si>
    <t xml:space="preserve">Primes Y5 (Md FCFA)</t>
  </si>
  <si>
    <t xml:space="preserve">±15%</t>
  </si>
  <si>
    <t xml:space="preserve">Résultat net Y5 (Md FCFA)</t>
  </si>
  <si>
    <t xml:space="preserve">-50%/+40%</t>
  </si>
  <si>
    <t xml:space="preserve">Ratio combiné Y5</t>
  </si>
  <si>
    <t xml:space="preserve">+10%/-7%</t>
  </si>
  <si>
    <t xml:space="preserve">ROE Y5</t>
  </si>
  <si>
    <t xml:space="preserve">Marge solvabilité Y5</t>
  </si>
  <si>
    <t xml:space="preserve">±20-25%</t>
  </si>
  <si>
    <t xml:space="preserve">MÉTHODOLOGIE</t>
  </si>
  <si>
    <t xml:space="preserve">Pessimiste : sinistralité dégradée (+10pts loss ratio), baisse rendement placements (-200 bps), baisse souscription -15%.</t>
  </si>
  <si>
    <t xml:space="preserve">Optimiste : meilleure sélection (loss ratio -7pts), hausse rendement placements, gains de parts de marché.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</si>
</sst>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;\(0.0%\);\-"/>
    <numFmt numFmtId="166" formatCode="#,##0;\(#,##0\);\-"/>
    <numFmt numFmtId="167" formatCode="#,##0.0_);\(#,##0.0\);\-_)"/>
    <numFmt numFmtId="168" formatCode="0.00%;\(0.00%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b val="true"/>
      <sz val="12"/>
      <color rgb="FF0A2540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color rgb="FF0A2540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0000FF"/>
      <name val="Calibri"/>
      <family val="0"/>
      <charset val="1"/>
    </font>
    <font>
      <sz val="11"/>
      <color rgb="FF008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A2540"/>
        <bgColor rgb="FF003300"/>
      </patternFill>
    </fill>
    <fill>
      <patternFill patternType="solid">
        <fgColor rgb="FFC9A961"/>
        <bgColor rgb="FFBFBFBF"/>
      </patternFill>
    </fill>
    <fill>
      <patternFill patternType="solid">
        <fgColor rgb="FFFFFFCC"/>
        <bgColor rgb="FFFFFFFF"/>
      </patternFill>
    </fill>
    <fill>
      <patternFill patternType="solid">
        <fgColor rgb="FFD6E0EC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0A2540"/>
      </top>
      <bottom style="medium">
        <color rgb="FF0A254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C9A961"/>
      <rgbColor rgb="FF0A254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80"/>
  </cols>
  <sheetData>
    <row r="1" customFormat="false" ht="27.75" hidden="false" customHeight="tru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21.75" hidden="false" customHeight="true" outlineLevel="0" collapsed="false">
      <c r="A6" s="4" t="s">
        <v>3</v>
      </c>
      <c r="B6" s="4"/>
      <c r="C6" s="4"/>
    </row>
    <row r="7" customFormat="false" ht="42" hidden="false" customHeight="true" outlineLevel="0" collapsed="false">
      <c r="B7" s="5" t="s">
        <v>4</v>
      </c>
      <c r="C7" s="6" t="s">
        <v>5</v>
      </c>
    </row>
    <row r="8" customFormat="false" ht="42" hidden="false" customHeight="true" outlineLevel="0" collapsed="false">
      <c r="B8" s="5" t="s">
        <v>6</v>
      </c>
      <c r="C8" s="6" t="s">
        <v>7</v>
      </c>
    </row>
    <row r="9" customFormat="false" ht="42" hidden="false" customHeight="true" outlineLevel="0" collapsed="false">
      <c r="B9" s="5" t="s">
        <v>8</v>
      </c>
      <c r="C9" s="6" t="s">
        <v>9</v>
      </c>
    </row>
    <row r="11" customFormat="false" ht="21.75" hidden="false" customHeight="true" outlineLevel="0" collapsed="false">
      <c r="A11" s="4" t="s">
        <v>10</v>
      </c>
      <c r="B11" s="4"/>
      <c r="C11" s="4"/>
    </row>
    <row r="12" customFormat="false" ht="15" hidden="false" customHeight="false" outlineLevel="0" collapsed="false">
      <c r="B12" s="5" t="s">
        <v>11</v>
      </c>
      <c r="C12" s="7" t="s">
        <v>12</v>
      </c>
    </row>
    <row r="13" customFormat="false" ht="15" hidden="false" customHeight="false" outlineLevel="0" collapsed="false">
      <c r="B13" s="5" t="s">
        <v>13</v>
      </c>
      <c r="C13" s="7" t="s">
        <v>14</v>
      </c>
    </row>
    <row r="14" customFormat="false" ht="15" hidden="false" customHeight="false" outlineLevel="0" collapsed="false">
      <c r="B14" s="5" t="s">
        <v>15</v>
      </c>
      <c r="C14" s="7" t="s">
        <v>16</v>
      </c>
    </row>
    <row r="15" customFormat="false" ht="15" hidden="false" customHeight="false" outlineLevel="0" collapsed="false">
      <c r="B15" s="5" t="s">
        <v>17</v>
      </c>
      <c r="C15" s="7" t="s">
        <v>18</v>
      </c>
    </row>
    <row r="16" customFormat="false" ht="15" hidden="false" customHeight="false" outlineLevel="0" collapsed="false">
      <c r="B16" s="5" t="s">
        <v>19</v>
      </c>
      <c r="C16" s="7" t="s">
        <v>20</v>
      </c>
    </row>
    <row r="17" customFormat="false" ht="15" hidden="false" customHeight="false" outlineLevel="0" collapsed="false">
      <c r="B17" s="5" t="s">
        <v>21</v>
      </c>
      <c r="C17" s="7" t="s">
        <v>22</v>
      </c>
    </row>
    <row r="18" customFormat="false" ht="15" hidden="false" customHeight="false" outlineLevel="0" collapsed="false">
      <c r="B18" s="5" t="s">
        <v>23</v>
      </c>
      <c r="C18" s="7" t="s">
        <v>24</v>
      </c>
    </row>
    <row r="19" customFormat="false" ht="15" hidden="false" customHeight="false" outlineLevel="0" collapsed="false">
      <c r="B19" s="5" t="s">
        <v>25</v>
      </c>
      <c r="C19" s="7" t="s">
        <v>26</v>
      </c>
    </row>
    <row r="20" customFormat="false" ht="15" hidden="false" customHeight="false" outlineLevel="0" collapsed="false">
      <c r="B20" s="5" t="s">
        <v>27</v>
      </c>
      <c r="C20" s="7" t="s">
        <v>28</v>
      </c>
    </row>
    <row r="21" customFormat="false" ht="15" hidden="false" customHeight="false" outlineLevel="0" collapsed="false">
      <c r="B21" s="5" t="s">
        <v>29</v>
      </c>
      <c r="C21" s="7" t="s">
        <v>30</v>
      </c>
    </row>
    <row r="22" customFormat="false" ht="15" hidden="false" customHeight="false" outlineLevel="0" collapsed="false">
      <c r="B22" s="5" t="s">
        <v>31</v>
      </c>
      <c r="C22" s="7" t="s">
        <v>32</v>
      </c>
    </row>
    <row r="23" customFormat="false" ht="15" hidden="false" customHeight="false" outlineLevel="0" collapsed="false">
      <c r="B23" s="5" t="s">
        <v>33</v>
      </c>
      <c r="C23" s="7" t="s">
        <v>34</v>
      </c>
    </row>
    <row r="24" customFormat="false" ht="15" hidden="false" customHeight="false" outlineLevel="0" collapsed="false">
      <c r="B24" s="5" t="s">
        <v>35</v>
      </c>
      <c r="C24" s="7" t="s">
        <v>36</v>
      </c>
    </row>
    <row r="26" customFormat="false" ht="21.75" hidden="false" customHeight="true" outlineLevel="0" collapsed="false">
      <c r="A26" s="4" t="s">
        <v>37</v>
      </c>
      <c r="B26" s="4"/>
      <c r="C26" s="4"/>
    </row>
    <row r="27" customFormat="false" ht="15" hidden="false" customHeight="false" outlineLevel="0" collapsed="false">
      <c r="B27" s="5" t="s">
        <v>38</v>
      </c>
      <c r="C27" s="7" t="s">
        <v>39</v>
      </c>
    </row>
    <row r="28" customFormat="false" ht="15" hidden="false" customHeight="false" outlineLevel="0" collapsed="false">
      <c r="B28" s="5" t="s">
        <v>40</v>
      </c>
      <c r="C28" s="7" t="s">
        <v>41</v>
      </c>
    </row>
    <row r="29" customFormat="false" ht="15" hidden="false" customHeight="false" outlineLevel="0" collapsed="false">
      <c r="B29" s="5" t="s">
        <v>42</v>
      </c>
      <c r="C29" s="7" t="s">
        <v>43</v>
      </c>
    </row>
    <row r="30" customFormat="false" ht="15" hidden="false" customHeight="false" outlineLevel="0" collapsed="false">
      <c r="B30" s="5" t="s">
        <v>44</v>
      </c>
      <c r="C30" s="7" t="s">
        <v>45</v>
      </c>
    </row>
    <row r="31" customFormat="false" ht="15" hidden="false" customHeight="false" outlineLevel="0" collapsed="false">
      <c r="B31" s="5" t="s">
        <v>46</v>
      </c>
      <c r="C31" s="7" t="s">
        <v>47</v>
      </c>
    </row>
    <row r="32" customFormat="false" ht="15" hidden="false" customHeight="false" outlineLevel="0" collapsed="false">
      <c r="B32" s="5" t="s">
        <v>48</v>
      </c>
      <c r="C32" s="7" t="s">
        <v>49</v>
      </c>
    </row>
  </sheetData>
  <mergeCells count="4">
    <mergeCell ref="A1:C1"/>
    <mergeCell ref="A6:C6"/>
    <mergeCell ref="A11:C11"/>
    <mergeCell ref="A26:C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14"/>
    <col collapsed="false" customWidth="true" hidden="false" outlineLevel="0" max="7" min="7" style="0" width="4"/>
    <col collapsed="false" customWidth="true" hidden="false" outlineLevel="0" max="8" min="8" style="0" width="32"/>
  </cols>
  <sheetData>
    <row r="1" customFormat="false" ht="27.75" hidden="false" customHeight="true" outlineLevel="0" collapsed="false">
      <c r="A1" s="1" t="s">
        <v>50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8"/>
      <c r="B3" s="9" t="s">
        <v>51</v>
      </c>
      <c r="C3" s="9" t="s">
        <v>52</v>
      </c>
      <c r="D3" s="9" t="s">
        <v>53</v>
      </c>
      <c r="E3" s="9" t="s">
        <v>54</v>
      </c>
      <c r="F3" s="9" t="s">
        <v>55</v>
      </c>
    </row>
    <row r="4" customFormat="false" ht="21.75" hidden="false" customHeight="true" outlineLevel="0" collapsed="false">
      <c r="A4" s="4" t="s">
        <v>56</v>
      </c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10" t="s">
        <v>57</v>
      </c>
      <c r="B5" s="11" t="n">
        <v>0.03</v>
      </c>
      <c r="C5" s="11" t="n">
        <v>0.025</v>
      </c>
      <c r="D5" s="11" t="n">
        <v>0.025</v>
      </c>
      <c r="E5" s="11" t="n">
        <v>0.025</v>
      </c>
      <c r="F5" s="11" t="n">
        <v>0.025</v>
      </c>
      <c r="H5" s="3" t="s">
        <v>58</v>
      </c>
    </row>
    <row r="6" customFormat="false" ht="15" hidden="false" customHeight="false" outlineLevel="0" collapsed="false">
      <c r="A6" s="10" t="s">
        <v>59</v>
      </c>
      <c r="B6" s="11" t="n">
        <v>0.3</v>
      </c>
      <c r="C6" s="11" t="n">
        <v>0.3</v>
      </c>
      <c r="D6" s="11" t="n">
        <v>0.3</v>
      </c>
      <c r="E6" s="11" t="n">
        <v>0.3</v>
      </c>
      <c r="F6" s="11" t="n">
        <v>0.3</v>
      </c>
      <c r="H6" s="3" t="s">
        <v>60</v>
      </c>
    </row>
    <row r="7" customFormat="false" ht="15" hidden="false" customHeight="false" outlineLevel="0" collapsed="false">
      <c r="A7" s="10" t="s">
        <v>61</v>
      </c>
      <c r="B7" s="11" t="n">
        <v>0.07</v>
      </c>
      <c r="C7" s="11" t="n">
        <v>0.07</v>
      </c>
      <c r="D7" s="11" t="n">
        <v>0.07</v>
      </c>
      <c r="E7" s="11" t="n">
        <v>0.07</v>
      </c>
      <c r="F7" s="11" t="n">
        <v>0.07</v>
      </c>
      <c r="H7" s="3" t="s">
        <v>62</v>
      </c>
    </row>
    <row r="8" customFormat="false" ht="15" hidden="false" customHeight="false" outlineLevel="0" collapsed="false">
      <c r="A8" s="10" t="s">
        <v>63</v>
      </c>
      <c r="B8" s="11" t="n">
        <v>0.18</v>
      </c>
      <c r="C8" s="11" t="n">
        <v>0.18</v>
      </c>
      <c r="D8" s="11" t="n">
        <v>0.18</v>
      </c>
      <c r="E8" s="11" t="n">
        <v>0.18</v>
      </c>
      <c r="F8" s="11" t="n">
        <v>0.18</v>
      </c>
      <c r="H8" s="3"/>
    </row>
    <row r="10" customFormat="false" ht="21.75" hidden="false" customHeight="true" outlineLevel="0" collapsed="false">
      <c r="A10" s="4" t="s">
        <v>64</v>
      </c>
      <c r="B10" s="4"/>
      <c r="C10" s="4"/>
      <c r="D10" s="4"/>
      <c r="E10" s="4"/>
      <c r="F10" s="4"/>
      <c r="G10" s="4"/>
      <c r="H10" s="4"/>
    </row>
    <row r="11" customFormat="false" ht="15" hidden="false" customHeight="false" outlineLevel="0" collapsed="false">
      <c r="A11" s="10" t="s">
        <v>65</v>
      </c>
      <c r="B11" s="12" t="n">
        <v>25</v>
      </c>
      <c r="C11" s="12" t="n">
        <v>30</v>
      </c>
      <c r="D11" s="12" t="n">
        <v>36</v>
      </c>
      <c r="E11" s="12" t="n">
        <v>43</v>
      </c>
      <c r="F11" s="12" t="n">
        <v>51</v>
      </c>
      <c r="H11" s="3" t="s">
        <v>66</v>
      </c>
    </row>
    <row r="12" customFormat="false" ht="15" hidden="false" customHeight="false" outlineLevel="0" collapsed="false">
      <c r="A12" s="10" t="s">
        <v>67</v>
      </c>
      <c r="B12" s="13" t="n">
        <v>180</v>
      </c>
      <c r="C12" s="13" t="n">
        <v>190</v>
      </c>
      <c r="D12" s="13" t="n">
        <v>200</v>
      </c>
      <c r="E12" s="13" t="n">
        <v>210</v>
      </c>
      <c r="F12" s="13" t="n">
        <v>220</v>
      </c>
      <c r="H12" s="3"/>
    </row>
    <row r="13" customFormat="false" ht="15" hidden="false" customHeight="false" outlineLevel="0" collapsed="false">
      <c r="A13" s="10" t="s">
        <v>68</v>
      </c>
      <c r="B13" s="11" t="n">
        <v>0.08</v>
      </c>
      <c r="C13" s="11" t="n">
        <v>0.08</v>
      </c>
      <c r="D13" s="11" t="n">
        <v>0.075</v>
      </c>
      <c r="E13" s="11" t="n">
        <v>0.07</v>
      </c>
      <c r="F13" s="11" t="n">
        <v>0.07</v>
      </c>
      <c r="H13" s="3" t="s">
        <v>69</v>
      </c>
    </row>
    <row r="14" customFormat="false" ht="15" hidden="false" customHeight="false" outlineLevel="0" collapsed="false">
      <c r="A14" s="10" t="s">
        <v>70</v>
      </c>
      <c r="B14" s="11" t="n">
        <v>0.06</v>
      </c>
      <c r="C14" s="11" t="n">
        <v>0.06</v>
      </c>
      <c r="D14" s="11" t="n">
        <v>0.055</v>
      </c>
      <c r="E14" s="11" t="n">
        <v>0.05</v>
      </c>
      <c r="F14" s="11" t="n">
        <v>0.05</v>
      </c>
      <c r="H14" s="3"/>
    </row>
    <row r="15" customFormat="false" ht="15" hidden="false" customHeight="false" outlineLevel="0" collapsed="false">
      <c r="A15" s="10" t="s">
        <v>71</v>
      </c>
      <c r="B15" s="14" t="n">
        <v>0.035</v>
      </c>
      <c r="C15" s="14" t="n">
        <v>0.035</v>
      </c>
      <c r="D15" s="14" t="n">
        <v>0.035</v>
      </c>
      <c r="E15" s="14" t="n">
        <v>0.035</v>
      </c>
      <c r="F15" s="14" t="n">
        <v>0.035</v>
      </c>
      <c r="H15" s="3" t="s">
        <v>72</v>
      </c>
    </row>
    <row r="16" customFormat="false" ht="15" hidden="false" customHeight="false" outlineLevel="0" collapsed="false">
      <c r="A16" s="10" t="s">
        <v>73</v>
      </c>
      <c r="B16" s="11" t="n">
        <v>0.9</v>
      </c>
      <c r="C16" s="11" t="n">
        <v>0.9</v>
      </c>
      <c r="D16" s="11" t="n">
        <v>0.9</v>
      </c>
      <c r="E16" s="11" t="n">
        <v>0.9</v>
      </c>
      <c r="F16" s="11" t="n">
        <v>0.9</v>
      </c>
      <c r="H16" s="3" t="s">
        <v>74</v>
      </c>
    </row>
    <row r="18" customFormat="false" ht="21.75" hidden="false" customHeight="true" outlineLevel="0" collapsed="false">
      <c r="A18" s="4" t="s">
        <v>75</v>
      </c>
      <c r="B18" s="4"/>
      <c r="C18" s="4"/>
      <c r="D18" s="4"/>
      <c r="E18" s="4"/>
      <c r="F18" s="4"/>
      <c r="G18" s="4"/>
      <c r="H18" s="4"/>
    </row>
    <row r="19" customFormat="false" ht="15" hidden="false" customHeight="false" outlineLevel="0" collapsed="false">
      <c r="A19" s="10" t="s">
        <v>76</v>
      </c>
      <c r="B19" s="12" t="n">
        <v>85</v>
      </c>
      <c r="C19" s="12" t="n">
        <v>95</v>
      </c>
      <c r="D19" s="12" t="n">
        <v>106</v>
      </c>
      <c r="E19" s="12" t="n">
        <v>119</v>
      </c>
      <c r="F19" s="12" t="n">
        <v>133</v>
      </c>
      <c r="H19" s="3"/>
    </row>
    <row r="20" customFormat="false" ht="15" hidden="false" customHeight="false" outlineLevel="0" collapsed="false">
      <c r="A20" s="10" t="s">
        <v>77</v>
      </c>
      <c r="B20" s="12" t="n">
        <v>3.5</v>
      </c>
      <c r="C20" s="12" t="n">
        <v>4</v>
      </c>
      <c r="D20" s="12" t="n">
        <v>4.6</v>
      </c>
      <c r="E20" s="12" t="n">
        <v>5.3</v>
      </c>
      <c r="F20" s="12" t="n">
        <v>6.1</v>
      </c>
      <c r="H20" s="3"/>
    </row>
    <row r="21" customFormat="false" ht="15" hidden="false" customHeight="false" outlineLevel="0" collapsed="false">
      <c r="A21" s="10" t="s">
        <v>78</v>
      </c>
      <c r="B21" s="12" t="n">
        <v>18</v>
      </c>
      <c r="C21" s="12" t="n">
        <v>21</v>
      </c>
      <c r="D21" s="12" t="n">
        <v>24</v>
      </c>
      <c r="E21" s="12" t="n">
        <v>28</v>
      </c>
      <c r="F21" s="12" t="n">
        <v>32</v>
      </c>
      <c r="H21" s="3" t="s">
        <v>79</v>
      </c>
    </row>
    <row r="22" customFormat="false" ht="15" hidden="false" customHeight="false" outlineLevel="0" collapsed="false">
      <c r="A22" s="10" t="s">
        <v>80</v>
      </c>
      <c r="B22" s="13" t="n">
        <v>85</v>
      </c>
      <c r="C22" s="13" t="n">
        <v>90</v>
      </c>
      <c r="D22" s="13" t="n">
        <v>95</v>
      </c>
      <c r="E22" s="13" t="n">
        <v>100</v>
      </c>
      <c r="F22" s="13" t="n">
        <v>105</v>
      </c>
      <c r="H22" s="3" t="s">
        <v>81</v>
      </c>
    </row>
    <row r="23" customFormat="false" ht="15" hidden="false" customHeight="false" outlineLevel="0" collapsed="false">
      <c r="A23" s="10" t="s">
        <v>82</v>
      </c>
      <c r="B23" s="13" t="n">
        <v>850</v>
      </c>
      <c r="C23" s="13" t="n">
        <v>900</v>
      </c>
      <c r="D23" s="13" t="n">
        <v>950</v>
      </c>
      <c r="E23" s="13" t="n">
        <v>1000</v>
      </c>
      <c r="F23" s="13" t="n">
        <v>1050</v>
      </c>
      <c r="H23" s="3"/>
    </row>
    <row r="24" customFormat="false" ht="15" hidden="false" customHeight="false" outlineLevel="0" collapsed="false">
      <c r="A24" s="10" t="s">
        <v>83</v>
      </c>
      <c r="B24" s="13" t="n">
        <v>150</v>
      </c>
      <c r="C24" s="13" t="n">
        <v>160</v>
      </c>
      <c r="D24" s="13" t="n">
        <v>170</v>
      </c>
      <c r="E24" s="13" t="n">
        <v>180</v>
      </c>
      <c r="F24" s="13" t="n">
        <v>190</v>
      </c>
      <c r="H24" s="3"/>
    </row>
    <row r="26" customFormat="false" ht="21.75" hidden="false" customHeight="true" outlineLevel="0" collapsed="false">
      <c r="A26" s="4" t="s">
        <v>84</v>
      </c>
      <c r="B26" s="4"/>
      <c r="C26" s="4"/>
      <c r="D26" s="4"/>
      <c r="E26" s="4"/>
      <c r="F26" s="4"/>
      <c r="G26" s="4"/>
      <c r="H26" s="4"/>
    </row>
    <row r="27" customFormat="false" ht="15" hidden="false" customHeight="false" outlineLevel="0" collapsed="false">
      <c r="A27" s="10" t="s">
        <v>85</v>
      </c>
      <c r="B27" s="11" t="n">
        <v>0.68</v>
      </c>
      <c r="C27" s="11" t="n">
        <v>0.66</v>
      </c>
      <c r="D27" s="11" t="n">
        <v>0.65</v>
      </c>
      <c r="E27" s="11" t="n">
        <v>0.64</v>
      </c>
      <c r="F27" s="11" t="n">
        <v>0.63</v>
      </c>
      <c r="H27" s="3" t="s">
        <v>86</v>
      </c>
    </row>
    <row r="28" customFormat="false" ht="15" hidden="false" customHeight="false" outlineLevel="0" collapsed="false">
      <c r="A28" s="10" t="s">
        <v>87</v>
      </c>
      <c r="B28" s="11" t="n">
        <v>0.55</v>
      </c>
      <c r="C28" s="11" t="n">
        <v>0.54</v>
      </c>
      <c r="D28" s="11" t="n">
        <v>0.53</v>
      </c>
      <c r="E28" s="11" t="n">
        <v>0.52</v>
      </c>
      <c r="F28" s="11" t="n">
        <v>0.51</v>
      </c>
      <c r="H28" s="3" t="s">
        <v>88</v>
      </c>
    </row>
    <row r="29" customFormat="false" ht="15" hidden="false" customHeight="false" outlineLevel="0" collapsed="false">
      <c r="A29" s="10" t="s">
        <v>89</v>
      </c>
      <c r="B29" s="11" t="n">
        <v>0.72</v>
      </c>
      <c r="C29" s="11" t="n">
        <v>0.71</v>
      </c>
      <c r="D29" s="11" t="n">
        <v>0.7</v>
      </c>
      <c r="E29" s="11" t="n">
        <v>0.69</v>
      </c>
      <c r="F29" s="11" t="n">
        <v>0.68</v>
      </c>
      <c r="H29" s="3"/>
    </row>
    <row r="30" customFormat="false" ht="15" hidden="false" customHeight="false" outlineLevel="0" collapsed="false">
      <c r="A30" s="10" t="s">
        <v>90</v>
      </c>
      <c r="B30" s="11" t="n">
        <v>0.12</v>
      </c>
      <c r="C30" s="11" t="n">
        <v>0.12</v>
      </c>
      <c r="D30" s="11" t="n">
        <v>0.12</v>
      </c>
      <c r="E30" s="11" t="n">
        <v>0.12</v>
      </c>
      <c r="F30" s="11" t="n">
        <v>0.12</v>
      </c>
      <c r="H30" s="3" t="s">
        <v>91</v>
      </c>
    </row>
    <row r="32" customFormat="false" ht="21.75" hidden="false" customHeight="true" outlineLevel="0" collapsed="false">
      <c r="A32" s="4" t="s">
        <v>92</v>
      </c>
      <c r="B32" s="4"/>
      <c r="C32" s="4"/>
      <c r="D32" s="4"/>
      <c r="E32" s="4"/>
      <c r="F32" s="4"/>
      <c r="G32" s="4"/>
      <c r="H32" s="4"/>
    </row>
    <row r="33" customFormat="false" ht="15" hidden="false" customHeight="false" outlineLevel="0" collapsed="false">
      <c r="A33" s="10" t="s">
        <v>93</v>
      </c>
      <c r="B33" s="11" t="n">
        <v>0.045</v>
      </c>
      <c r="C33" s="11" t="n">
        <v>0.045</v>
      </c>
      <c r="D33" s="11" t="n">
        <v>0.044</v>
      </c>
      <c r="E33" s="11" t="n">
        <v>0.043</v>
      </c>
      <c r="F33" s="11" t="n">
        <v>0.042</v>
      </c>
      <c r="H33" s="3" t="s">
        <v>94</v>
      </c>
    </row>
    <row r="35" customFormat="false" ht="21.75" hidden="false" customHeight="true" outlineLevel="0" collapsed="false">
      <c r="A35" s="4" t="s">
        <v>95</v>
      </c>
      <c r="B35" s="4"/>
      <c r="C35" s="4"/>
      <c r="D35" s="4"/>
      <c r="E35" s="4"/>
      <c r="F35" s="4"/>
      <c r="G35" s="4"/>
      <c r="H35" s="4"/>
    </row>
    <row r="36" customFormat="false" ht="15" hidden="false" customHeight="false" outlineLevel="0" collapsed="false">
      <c r="A36" s="10" t="s">
        <v>96</v>
      </c>
      <c r="B36" s="11" t="n">
        <v>0.18</v>
      </c>
      <c r="C36" s="11" t="n">
        <v>0.17</v>
      </c>
      <c r="D36" s="11" t="n">
        <v>0.16</v>
      </c>
      <c r="E36" s="11" t="n">
        <v>0.15</v>
      </c>
      <c r="F36" s="11" t="n">
        <v>0.14</v>
      </c>
      <c r="H36" s="3" t="s">
        <v>97</v>
      </c>
    </row>
    <row r="37" customFormat="false" ht="15" hidden="false" customHeight="false" outlineLevel="0" collapsed="false">
      <c r="A37" s="10" t="s">
        <v>98</v>
      </c>
      <c r="B37" s="11" t="n">
        <v>0.2</v>
      </c>
      <c r="C37" s="11" t="n">
        <v>0.19</v>
      </c>
      <c r="D37" s="11" t="n">
        <v>0.18</v>
      </c>
      <c r="E37" s="11" t="n">
        <v>0.18</v>
      </c>
      <c r="F37" s="11" t="n">
        <v>0.17</v>
      </c>
      <c r="H37" s="3"/>
    </row>
    <row r="38" customFormat="false" ht="15" hidden="false" customHeight="false" outlineLevel="0" collapsed="false">
      <c r="A38" s="10" t="s">
        <v>99</v>
      </c>
      <c r="B38" s="11" t="n">
        <v>0.08</v>
      </c>
      <c r="C38" s="11" t="n">
        <v>0.08</v>
      </c>
      <c r="D38" s="11" t="n">
        <v>0.075</v>
      </c>
      <c r="E38" s="11" t="n">
        <v>0.07</v>
      </c>
      <c r="F38" s="11" t="n">
        <v>0.07</v>
      </c>
      <c r="H38" s="3"/>
    </row>
    <row r="39" customFormat="false" ht="15" hidden="false" customHeight="false" outlineLevel="0" collapsed="false">
      <c r="A39" s="10" t="s">
        <v>100</v>
      </c>
      <c r="B39" s="11" t="n">
        <v>0.05</v>
      </c>
      <c r="C39" s="11" t="n">
        <v>0.05</v>
      </c>
      <c r="D39" s="11" t="n">
        <v>0.05</v>
      </c>
      <c r="E39" s="11" t="n">
        <v>0.05</v>
      </c>
      <c r="F39" s="11" t="n">
        <v>0.05</v>
      </c>
      <c r="H39" s="3"/>
    </row>
    <row r="41" customFormat="false" ht="21.75" hidden="false" customHeight="true" outlineLevel="0" collapsed="false">
      <c r="A41" s="4" t="s">
        <v>101</v>
      </c>
      <c r="B41" s="4"/>
      <c r="C41" s="4"/>
      <c r="D41" s="4"/>
      <c r="E41" s="4"/>
      <c r="F41" s="4"/>
      <c r="G41" s="4"/>
      <c r="H41" s="4"/>
    </row>
    <row r="42" customFormat="false" ht="15" hidden="false" customHeight="false" outlineLevel="0" collapsed="false">
      <c r="A42" s="10" t="s">
        <v>102</v>
      </c>
      <c r="B42" s="11" t="n">
        <v>0.25</v>
      </c>
      <c r="C42" s="11" t="n">
        <v>0.25</v>
      </c>
      <c r="D42" s="11" t="n">
        <v>0.25</v>
      </c>
      <c r="E42" s="11" t="n">
        <v>0.25</v>
      </c>
      <c r="F42" s="11" t="n">
        <v>0.25</v>
      </c>
      <c r="H42" s="3" t="s">
        <v>103</v>
      </c>
    </row>
    <row r="43" customFormat="false" ht="15" hidden="false" customHeight="false" outlineLevel="0" collapsed="false">
      <c r="A43" s="10" t="s">
        <v>104</v>
      </c>
      <c r="B43" s="11" t="n">
        <v>0.25</v>
      </c>
      <c r="C43" s="11" t="n">
        <v>0.25</v>
      </c>
      <c r="D43" s="11" t="n">
        <v>0.25</v>
      </c>
      <c r="E43" s="11" t="n">
        <v>0.25</v>
      </c>
      <c r="F43" s="11" t="n">
        <v>0.25</v>
      </c>
      <c r="H43" s="3" t="s">
        <v>105</v>
      </c>
    </row>
    <row r="44" customFormat="false" ht="15" hidden="false" customHeight="false" outlineLevel="0" collapsed="false">
      <c r="A44" s="10" t="s">
        <v>106</v>
      </c>
      <c r="B44" s="11" t="n">
        <v>0.1</v>
      </c>
      <c r="C44" s="11" t="n">
        <v>0.1</v>
      </c>
      <c r="D44" s="11" t="n">
        <v>0.1</v>
      </c>
      <c r="E44" s="11" t="n">
        <v>0.1</v>
      </c>
      <c r="F44" s="11" t="n">
        <v>0.1</v>
      </c>
      <c r="H44" s="3" t="s">
        <v>107</v>
      </c>
    </row>
    <row r="46" customFormat="false" ht="21.75" hidden="false" customHeight="true" outlineLevel="0" collapsed="false">
      <c r="A46" s="4" t="s">
        <v>108</v>
      </c>
      <c r="B46" s="4"/>
      <c r="C46" s="4"/>
      <c r="D46" s="4"/>
      <c r="E46" s="4"/>
      <c r="F46" s="4"/>
      <c r="G46" s="4"/>
      <c r="H46" s="4"/>
    </row>
    <row r="47" customFormat="false" ht="15" hidden="false" customHeight="false" outlineLevel="0" collapsed="false">
      <c r="A47" s="10" t="s">
        <v>109</v>
      </c>
      <c r="B47" s="11" t="n">
        <v>0.45</v>
      </c>
      <c r="C47" s="11" t="n">
        <v>0.45</v>
      </c>
      <c r="D47" s="11" t="n">
        <v>0.45</v>
      </c>
      <c r="E47" s="11" t="n">
        <v>0.45</v>
      </c>
      <c r="F47" s="11" t="n">
        <v>0.45</v>
      </c>
      <c r="H47" s="3" t="s">
        <v>110</v>
      </c>
    </row>
    <row r="48" customFormat="false" ht="15" hidden="false" customHeight="false" outlineLevel="0" collapsed="false">
      <c r="A48" s="10" t="s">
        <v>111</v>
      </c>
      <c r="B48" s="11" t="n">
        <v>0.2</v>
      </c>
      <c r="C48" s="11" t="n">
        <v>0.2</v>
      </c>
      <c r="D48" s="11" t="n">
        <v>0.2</v>
      </c>
      <c r="E48" s="11" t="n">
        <v>0.2</v>
      </c>
      <c r="F48" s="11" t="n">
        <v>0.2</v>
      </c>
      <c r="H48" s="3" t="s">
        <v>110</v>
      </c>
    </row>
    <row r="49" customFormat="false" ht="15" hidden="false" customHeight="false" outlineLevel="0" collapsed="false">
      <c r="A49" s="10" t="s">
        <v>112</v>
      </c>
      <c r="B49" s="11" t="n">
        <v>0.2</v>
      </c>
      <c r="C49" s="11" t="n">
        <v>0.2</v>
      </c>
      <c r="D49" s="11" t="n">
        <v>0.2</v>
      </c>
      <c r="E49" s="11" t="n">
        <v>0.2</v>
      </c>
      <c r="F49" s="11" t="n">
        <v>0.2</v>
      </c>
      <c r="H49" s="3" t="s">
        <v>113</v>
      </c>
    </row>
    <row r="50" customFormat="false" ht="15" hidden="false" customHeight="false" outlineLevel="0" collapsed="false">
      <c r="A50" s="10" t="s">
        <v>114</v>
      </c>
      <c r="B50" s="11" t="n">
        <v>0.1</v>
      </c>
      <c r="C50" s="11" t="n">
        <v>0.1</v>
      </c>
      <c r="D50" s="11" t="n">
        <v>0.1</v>
      </c>
      <c r="E50" s="11" t="n">
        <v>0.1</v>
      </c>
      <c r="F50" s="11" t="n">
        <v>0.1</v>
      </c>
      <c r="H50" s="3" t="s">
        <v>115</v>
      </c>
    </row>
    <row r="51" customFormat="false" ht="15" hidden="false" customHeight="false" outlineLevel="0" collapsed="false">
      <c r="A51" s="10" t="s">
        <v>116</v>
      </c>
      <c r="B51" s="11" t="n">
        <v>0.05</v>
      </c>
      <c r="C51" s="11" t="n">
        <v>0.05</v>
      </c>
      <c r="D51" s="11" t="n">
        <v>0.05</v>
      </c>
      <c r="E51" s="11" t="n">
        <v>0.05</v>
      </c>
      <c r="F51" s="11" t="n">
        <v>0.05</v>
      </c>
      <c r="H51" s="3"/>
    </row>
    <row r="52" customFormat="false" ht="15" hidden="false" customHeight="false" outlineLevel="0" collapsed="false">
      <c r="A52" s="10" t="s">
        <v>117</v>
      </c>
      <c r="B52" s="14" t="n">
        <v>0.055</v>
      </c>
      <c r="C52" s="14" t="n">
        <v>0.055</v>
      </c>
      <c r="D52" s="14" t="n">
        <v>0.05</v>
      </c>
      <c r="E52" s="14" t="n">
        <v>0.05</v>
      </c>
      <c r="F52" s="14" t="n">
        <v>0.045</v>
      </c>
      <c r="H52" s="3"/>
    </row>
    <row r="53" customFormat="false" ht="15" hidden="false" customHeight="false" outlineLevel="0" collapsed="false">
      <c r="A53" s="10" t="s">
        <v>118</v>
      </c>
      <c r="B53" s="14" t="n">
        <v>0.04</v>
      </c>
      <c r="C53" s="14" t="n">
        <v>0.04</v>
      </c>
      <c r="D53" s="14" t="n">
        <v>0.038</v>
      </c>
      <c r="E53" s="14" t="n">
        <v>0.038</v>
      </c>
      <c r="F53" s="14" t="n">
        <v>0.035</v>
      </c>
      <c r="H53" s="3"/>
    </row>
    <row r="54" customFormat="false" ht="15" hidden="false" customHeight="false" outlineLevel="0" collapsed="false">
      <c r="A54" s="10" t="s">
        <v>119</v>
      </c>
      <c r="B54" s="14" t="n">
        <v>0.07</v>
      </c>
      <c r="C54" s="14" t="n">
        <v>0.07</v>
      </c>
      <c r="D54" s="14" t="n">
        <v>0.07</v>
      </c>
      <c r="E54" s="14" t="n">
        <v>0.07</v>
      </c>
      <c r="F54" s="14" t="n">
        <v>0.07</v>
      </c>
      <c r="H54" s="3"/>
    </row>
    <row r="55" customFormat="false" ht="15" hidden="false" customHeight="false" outlineLevel="0" collapsed="false">
      <c r="A55" s="10" t="s">
        <v>120</v>
      </c>
      <c r="B55" s="14" t="n">
        <v>0.1</v>
      </c>
      <c r="C55" s="14" t="n">
        <v>0.1</v>
      </c>
      <c r="D55" s="14" t="n">
        <v>0.1</v>
      </c>
      <c r="E55" s="14" t="n">
        <v>0.1</v>
      </c>
      <c r="F55" s="14" t="n">
        <v>0.1</v>
      </c>
      <c r="H55" s="3" t="s">
        <v>121</v>
      </c>
    </row>
    <row r="56" customFormat="false" ht="15" hidden="false" customHeight="false" outlineLevel="0" collapsed="false">
      <c r="A56" s="10" t="s">
        <v>122</v>
      </c>
      <c r="B56" s="14" t="n">
        <v>0.045</v>
      </c>
      <c r="C56" s="14" t="n">
        <v>0.045</v>
      </c>
      <c r="D56" s="14" t="n">
        <v>0.045</v>
      </c>
      <c r="E56" s="14" t="n">
        <v>0.045</v>
      </c>
      <c r="F56" s="14" t="n">
        <v>0.045</v>
      </c>
      <c r="H56" s="3"/>
    </row>
    <row r="58" customFormat="false" ht="21.75" hidden="false" customHeight="true" outlineLevel="0" collapsed="false">
      <c r="A58" s="4" t="s">
        <v>123</v>
      </c>
      <c r="B58" s="4"/>
      <c r="C58" s="4"/>
      <c r="D58" s="4"/>
      <c r="E58" s="4"/>
      <c r="F58" s="4"/>
      <c r="G58" s="4"/>
      <c r="H58" s="4"/>
    </row>
    <row r="59" customFormat="false" ht="15" hidden="false" customHeight="false" outlineLevel="0" collapsed="false">
      <c r="A59" s="10" t="s">
        <v>124</v>
      </c>
      <c r="B59" s="13" t="n">
        <v>5</v>
      </c>
      <c r="C59" s="13" t="n">
        <v>5</v>
      </c>
      <c r="D59" s="13" t="n">
        <v>5</v>
      </c>
      <c r="E59" s="13" t="n">
        <v>10</v>
      </c>
      <c r="F59" s="13" t="n">
        <v>10</v>
      </c>
      <c r="H59" s="3" t="s">
        <v>125</v>
      </c>
    </row>
    <row r="60" customFormat="false" ht="15" hidden="false" customHeight="false" outlineLevel="0" collapsed="false">
      <c r="A60" s="10" t="s">
        <v>126</v>
      </c>
      <c r="B60" s="11" t="n">
        <v>0.3</v>
      </c>
      <c r="C60" s="11" t="n">
        <v>0.35</v>
      </c>
      <c r="D60" s="11" t="n">
        <v>0.4</v>
      </c>
      <c r="E60" s="11" t="n">
        <v>0.45</v>
      </c>
      <c r="F60" s="11" t="n">
        <v>0.5</v>
      </c>
      <c r="H60" s="3"/>
    </row>
  </sheetData>
  <mergeCells count="10">
    <mergeCell ref="A1:H1"/>
    <mergeCell ref="A4:H4"/>
    <mergeCell ref="A10:H10"/>
    <mergeCell ref="A18:H18"/>
    <mergeCell ref="A26:H26"/>
    <mergeCell ref="A32:H32"/>
    <mergeCell ref="A35:H35"/>
    <mergeCell ref="A41:H41"/>
    <mergeCell ref="A46:H46"/>
    <mergeCell ref="A58:H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6" min="2" style="0" width="14"/>
    <col collapsed="false" customWidth="true" hidden="false" outlineLevel="0" max="7" min="7" style="0" width="4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1" t="s">
        <v>127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8"/>
      <c r="B3" s="9" t="s">
        <v>51</v>
      </c>
      <c r="C3" s="9" t="s">
        <v>52</v>
      </c>
      <c r="D3" s="9" t="s">
        <v>53</v>
      </c>
      <c r="E3" s="9" t="s">
        <v>54</v>
      </c>
      <c r="F3" s="9" t="s">
        <v>55</v>
      </c>
    </row>
    <row r="4" customFormat="false" ht="21.75" hidden="false" customHeight="true" outlineLevel="0" collapsed="false">
      <c r="A4" s="4" t="s">
        <v>128</v>
      </c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10" t="s">
        <v>129</v>
      </c>
      <c r="B5" s="15" t="n">
        <f aca="false">Hypothèses!B11</f>
        <v>25</v>
      </c>
      <c r="C5" s="15" t="n">
        <f aca="false">Hypothèses!C11</f>
        <v>30</v>
      </c>
      <c r="D5" s="15" t="n">
        <f aca="false">Hypothèses!D11</f>
        <v>36</v>
      </c>
      <c r="E5" s="15" t="n">
        <f aca="false">Hypothèses!E11</f>
        <v>43</v>
      </c>
      <c r="F5" s="15" t="n">
        <f aca="false">Hypothèses!F11</f>
        <v>51</v>
      </c>
    </row>
    <row r="6" customFormat="false" ht="15" hidden="false" customHeight="false" outlineLevel="0" collapsed="false">
      <c r="A6" s="10" t="s">
        <v>130</v>
      </c>
      <c r="B6" s="16" t="n">
        <f aca="false">Hypothèses!B12</f>
        <v>180</v>
      </c>
      <c r="C6" s="16" t="n">
        <f aca="false">Hypothèses!C12</f>
        <v>190</v>
      </c>
      <c r="D6" s="16" t="n">
        <f aca="false">Hypothèses!D12</f>
        <v>200</v>
      </c>
      <c r="E6" s="16" t="n">
        <f aca="false">Hypothèses!E12</f>
        <v>210</v>
      </c>
      <c r="F6" s="16" t="n">
        <f aca="false">Hypothèses!F12</f>
        <v>220</v>
      </c>
    </row>
    <row r="7" customFormat="false" ht="15" hidden="false" customHeight="false" outlineLevel="0" collapsed="false">
      <c r="A7" s="17" t="s">
        <v>131</v>
      </c>
      <c r="B7" s="18" t="n">
        <f aca="false">B5*B6/1000</f>
        <v>4.5</v>
      </c>
      <c r="C7" s="18" t="n">
        <f aca="false">C5*C6/1000</f>
        <v>5.7</v>
      </c>
      <c r="D7" s="18" t="n">
        <f aca="false">D5*D6/1000</f>
        <v>7.2</v>
      </c>
      <c r="E7" s="18" t="n">
        <f aca="false">E5*E6/1000</f>
        <v>9.03</v>
      </c>
      <c r="F7" s="18" t="n">
        <f aca="false">F5*F6/1000</f>
        <v>11.22</v>
      </c>
    </row>
    <row r="9" customFormat="false" ht="21.75" hidden="false" customHeight="true" outlineLevel="0" collapsed="false">
      <c r="A9" s="4" t="s">
        <v>132</v>
      </c>
      <c r="B9" s="4"/>
      <c r="C9" s="4"/>
      <c r="D9" s="4"/>
      <c r="E9" s="4"/>
      <c r="F9" s="4"/>
      <c r="G9" s="4"/>
      <c r="H9" s="4"/>
    </row>
    <row r="10" customFormat="false" ht="15" hidden="false" customHeight="false" outlineLevel="0" collapsed="false">
      <c r="A10" s="10" t="s">
        <v>133</v>
      </c>
      <c r="B10" s="15" t="n">
        <f aca="false">Hypothèses!B19</f>
        <v>85</v>
      </c>
      <c r="C10" s="15" t="n">
        <f aca="false">Hypothèses!C19</f>
        <v>95</v>
      </c>
      <c r="D10" s="15" t="n">
        <f aca="false">Hypothèses!D19</f>
        <v>106</v>
      </c>
      <c r="E10" s="15" t="n">
        <f aca="false">Hypothèses!E19</f>
        <v>119</v>
      </c>
      <c r="F10" s="15" t="n">
        <f aca="false">Hypothèses!F19</f>
        <v>133</v>
      </c>
    </row>
    <row r="11" customFormat="false" ht="15" hidden="false" customHeight="false" outlineLevel="0" collapsed="false">
      <c r="A11" s="10" t="s">
        <v>80</v>
      </c>
      <c r="B11" s="16" t="n">
        <f aca="false">Hypothèses!B22</f>
        <v>85</v>
      </c>
      <c r="C11" s="16" t="n">
        <f aca="false">Hypothèses!C22</f>
        <v>90</v>
      </c>
      <c r="D11" s="16" t="n">
        <f aca="false">Hypothèses!D22</f>
        <v>95</v>
      </c>
      <c r="E11" s="16" t="n">
        <f aca="false">Hypothèses!E22</f>
        <v>100</v>
      </c>
      <c r="F11" s="16" t="n">
        <f aca="false">Hypothèses!F22</f>
        <v>105</v>
      </c>
    </row>
    <row r="12" customFormat="false" ht="15" hidden="false" customHeight="false" outlineLevel="0" collapsed="false">
      <c r="A12" s="17" t="s">
        <v>134</v>
      </c>
      <c r="B12" s="18" t="n">
        <f aca="false">B10*B11/1000</f>
        <v>7.225</v>
      </c>
      <c r="C12" s="18" t="n">
        <f aca="false">C10*C11/1000</f>
        <v>8.55</v>
      </c>
      <c r="D12" s="18" t="n">
        <f aca="false">D10*D11/1000</f>
        <v>10.07</v>
      </c>
      <c r="E12" s="18" t="n">
        <f aca="false">E10*E11/1000</f>
        <v>11.9</v>
      </c>
      <c r="F12" s="18" t="n">
        <f aca="false">F10*F11/1000</f>
        <v>13.965</v>
      </c>
    </row>
    <row r="14" customFormat="false" ht="21.75" hidden="false" customHeight="true" outlineLevel="0" collapsed="false">
      <c r="A14" s="4" t="s">
        <v>135</v>
      </c>
      <c r="B14" s="4"/>
      <c r="C14" s="4"/>
      <c r="D14" s="4"/>
      <c r="E14" s="4"/>
      <c r="F14" s="4"/>
      <c r="G14" s="4"/>
      <c r="H14" s="4"/>
    </row>
    <row r="15" customFormat="false" ht="15" hidden="false" customHeight="false" outlineLevel="0" collapsed="false">
      <c r="A15" s="10" t="s">
        <v>136</v>
      </c>
      <c r="B15" s="15" t="n">
        <f aca="false">Hypothèses!B20</f>
        <v>3.5</v>
      </c>
      <c r="C15" s="15" t="n">
        <f aca="false">Hypothèses!C20</f>
        <v>4</v>
      </c>
      <c r="D15" s="15" t="n">
        <f aca="false">Hypothèses!D20</f>
        <v>4.6</v>
      </c>
      <c r="E15" s="15" t="n">
        <f aca="false">Hypothèses!E20</f>
        <v>5.3</v>
      </c>
      <c r="F15" s="15" t="n">
        <f aca="false">Hypothèses!F20</f>
        <v>6.1</v>
      </c>
    </row>
    <row r="16" customFormat="false" ht="15" hidden="false" customHeight="false" outlineLevel="0" collapsed="false">
      <c r="A16" s="10" t="s">
        <v>82</v>
      </c>
      <c r="B16" s="16" t="n">
        <f aca="false">Hypothèses!B23</f>
        <v>850</v>
      </c>
      <c r="C16" s="16" t="n">
        <f aca="false">Hypothèses!C23</f>
        <v>900</v>
      </c>
      <c r="D16" s="16" t="n">
        <f aca="false">Hypothèses!D23</f>
        <v>950</v>
      </c>
      <c r="E16" s="16" t="n">
        <f aca="false">Hypothèses!E23</f>
        <v>1000</v>
      </c>
      <c r="F16" s="16" t="n">
        <f aca="false">Hypothèses!F23</f>
        <v>1050</v>
      </c>
    </row>
    <row r="17" customFormat="false" ht="15" hidden="false" customHeight="false" outlineLevel="0" collapsed="false">
      <c r="A17" s="17" t="s">
        <v>137</v>
      </c>
      <c r="B17" s="18" t="n">
        <f aca="false">B15*B16/1000</f>
        <v>2.975</v>
      </c>
      <c r="C17" s="18" t="n">
        <f aca="false">C15*C16/1000</f>
        <v>3.6</v>
      </c>
      <c r="D17" s="18" t="n">
        <f aca="false">D15*D16/1000</f>
        <v>4.37</v>
      </c>
      <c r="E17" s="18" t="n">
        <f aca="false">E15*E16/1000</f>
        <v>5.3</v>
      </c>
      <c r="F17" s="18" t="n">
        <f aca="false">F15*F16/1000</f>
        <v>6.405</v>
      </c>
    </row>
    <row r="19" customFormat="false" ht="21.75" hidden="false" customHeight="true" outlineLevel="0" collapsed="false">
      <c r="A19" s="4" t="s">
        <v>138</v>
      </c>
      <c r="B19" s="4"/>
      <c r="C19" s="4"/>
      <c r="D19" s="4"/>
      <c r="E19" s="4"/>
      <c r="F19" s="4"/>
      <c r="G19" s="4"/>
      <c r="H19" s="4"/>
    </row>
    <row r="20" customFormat="false" ht="15" hidden="false" customHeight="false" outlineLevel="0" collapsed="false">
      <c r="A20" s="10" t="s">
        <v>139</v>
      </c>
      <c r="B20" s="15" t="n">
        <f aca="false">Hypothèses!B21</f>
        <v>18</v>
      </c>
      <c r="C20" s="15" t="n">
        <f aca="false">Hypothèses!C21</f>
        <v>21</v>
      </c>
      <c r="D20" s="15" t="n">
        <f aca="false">Hypothèses!D21</f>
        <v>24</v>
      </c>
      <c r="E20" s="15" t="n">
        <f aca="false">Hypothèses!E21</f>
        <v>28</v>
      </c>
      <c r="F20" s="15" t="n">
        <f aca="false">Hypothèses!F21</f>
        <v>32</v>
      </c>
    </row>
    <row r="21" customFormat="false" ht="15" hidden="false" customHeight="false" outlineLevel="0" collapsed="false">
      <c r="A21" s="10" t="s">
        <v>83</v>
      </c>
      <c r="B21" s="16" t="n">
        <f aca="false">Hypothèses!B24</f>
        <v>150</v>
      </c>
      <c r="C21" s="16" t="n">
        <f aca="false">Hypothèses!C24</f>
        <v>160</v>
      </c>
      <c r="D21" s="16" t="n">
        <f aca="false">Hypothèses!D24</f>
        <v>170</v>
      </c>
      <c r="E21" s="16" t="n">
        <f aca="false">Hypothèses!E24</f>
        <v>180</v>
      </c>
      <c r="F21" s="16" t="n">
        <f aca="false">Hypothèses!F24</f>
        <v>190</v>
      </c>
    </row>
    <row r="22" customFormat="false" ht="15" hidden="false" customHeight="false" outlineLevel="0" collapsed="false">
      <c r="A22" s="17" t="s">
        <v>140</v>
      </c>
      <c r="B22" s="18" t="n">
        <f aca="false">B20*B21/1000</f>
        <v>2.7</v>
      </c>
      <c r="C22" s="18" t="n">
        <f aca="false">C20*C21/1000</f>
        <v>3.36</v>
      </c>
      <c r="D22" s="18" t="n">
        <f aca="false">D20*D21/1000</f>
        <v>4.08</v>
      </c>
      <c r="E22" s="18" t="n">
        <f aca="false">E20*E21/1000</f>
        <v>5.04</v>
      </c>
      <c r="F22" s="18" t="n">
        <f aca="false">F20*F21/1000</f>
        <v>6.08</v>
      </c>
    </row>
    <row r="24" customFormat="false" ht="21.75" hidden="false" customHeight="true" outlineLevel="0" collapsed="false">
      <c r="A24" s="4" t="s">
        <v>141</v>
      </c>
      <c r="B24" s="4"/>
      <c r="C24" s="4"/>
      <c r="D24" s="4"/>
      <c r="E24" s="4"/>
      <c r="F24" s="4"/>
      <c r="G24" s="4"/>
      <c r="H24" s="4"/>
    </row>
    <row r="25" customFormat="false" ht="15" hidden="false" customHeight="false" outlineLevel="0" collapsed="false">
      <c r="A25" s="17" t="s">
        <v>142</v>
      </c>
      <c r="B25" s="18" t="n">
        <f aca="false">B12+B17+B22</f>
        <v>12.9</v>
      </c>
      <c r="C25" s="18" t="n">
        <f aca="false">C12+C17+C22</f>
        <v>15.51</v>
      </c>
      <c r="D25" s="18" t="n">
        <f aca="false">D12+D17+D22</f>
        <v>18.52</v>
      </c>
      <c r="E25" s="18" t="n">
        <f aca="false">E12+E17+E22</f>
        <v>22.24</v>
      </c>
      <c r="F25" s="18" t="n">
        <f aca="false">F12+F17+F22</f>
        <v>26.45</v>
      </c>
    </row>
    <row r="26" customFormat="false" ht="15" hidden="false" customHeight="false" outlineLevel="0" collapsed="false">
      <c r="A26" s="17" t="s">
        <v>143</v>
      </c>
      <c r="B26" s="19" t="n">
        <f aca="false">B7+B25</f>
        <v>17.4</v>
      </c>
      <c r="C26" s="19" t="n">
        <f aca="false">C7+C25</f>
        <v>21.21</v>
      </c>
      <c r="D26" s="19" t="n">
        <f aca="false">D7+D25</f>
        <v>25.72</v>
      </c>
      <c r="E26" s="19" t="n">
        <f aca="false">E7+E25</f>
        <v>31.27</v>
      </c>
      <c r="F26" s="19" t="n">
        <f aca="false">F7+F25</f>
        <v>37.67</v>
      </c>
    </row>
  </sheetData>
  <mergeCells count="6">
    <mergeCell ref="A1:H1"/>
    <mergeCell ref="A4:H4"/>
    <mergeCell ref="A9:H9"/>
    <mergeCell ref="A14:H14"/>
    <mergeCell ref="A19:H19"/>
    <mergeCell ref="A24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6" min="2" style="0" width="14"/>
    <col collapsed="false" customWidth="true" hidden="false" outlineLevel="0" max="7" min="7" style="0" width="4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1" t="s">
        <v>144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8"/>
      <c r="B3" s="9" t="s">
        <v>51</v>
      </c>
      <c r="C3" s="9" t="s">
        <v>52</v>
      </c>
      <c r="D3" s="9" t="s">
        <v>53</v>
      </c>
      <c r="E3" s="9" t="s">
        <v>54</v>
      </c>
      <c r="F3" s="9" t="s">
        <v>55</v>
      </c>
    </row>
    <row r="4" customFormat="false" ht="21.75" hidden="false" customHeight="true" outlineLevel="0" collapsed="false">
      <c r="A4" s="4" t="s">
        <v>145</v>
      </c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10" t="s">
        <v>146</v>
      </c>
      <c r="B5" s="16" t="n">
        <f aca="false">Portefeuille!B7</f>
        <v>4.5</v>
      </c>
      <c r="C5" s="16" t="n">
        <f aca="false">Portefeuille!C7</f>
        <v>5.7</v>
      </c>
      <c r="D5" s="16" t="n">
        <f aca="false">Portefeuille!D7</f>
        <v>7.2</v>
      </c>
      <c r="E5" s="16" t="n">
        <f aca="false">Portefeuille!E7</f>
        <v>9.03</v>
      </c>
      <c r="F5" s="16" t="n">
        <f aca="false">Portefeuille!F7</f>
        <v>11.22</v>
      </c>
    </row>
    <row r="6" customFormat="false" ht="15" hidden="false" customHeight="false" outlineLevel="0" collapsed="false">
      <c r="A6" s="10" t="s">
        <v>147</v>
      </c>
      <c r="B6" s="16" t="n">
        <f aca="false">Portefeuille!B25</f>
        <v>12.9</v>
      </c>
      <c r="C6" s="16" t="n">
        <f aca="false">Portefeuille!C25</f>
        <v>15.51</v>
      </c>
      <c r="D6" s="16" t="n">
        <f aca="false">Portefeuille!D25</f>
        <v>18.52</v>
      </c>
      <c r="E6" s="16" t="n">
        <f aca="false">Portefeuille!E25</f>
        <v>22.24</v>
      </c>
      <c r="F6" s="16" t="n">
        <f aca="false">Portefeuille!F25</f>
        <v>26.45</v>
      </c>
    </row>
    <row r="7" customFormat="false" ht="15" hidden="false" customHeight="false" outlineLevel="0" collapsed="false">
      <c r="A7" s="17" t="s">
        <v>148</v>
      </c>
      <c r="B7" s="18" t="n">
        <f aca="false">B5+B6</f>
        <v>17.4</v>
      </c>
      <c r="C7" s="18" t="n">
        <f aca="false">C5+C6</f>
        <v>21.21</v>
      </c>
      <c r="D7" s="18" t="n">
        <f aca="false">D5+D6</f>
        <v>25.72</v>
      </c>
      <c r="E7" s="18" t="n">
        <f aca="false">E5+E6</f>
        <v>31.27</v>
      </c>
      <c r="F7" s="18" t="n">
        <f aca="false">F5+F6</f>
        <v>37.67</v>
      </c>
    </row>
    <row r="9" customFormat="false" ht="21.75" hidden="false" customHeight="true" outlineLevel="0" collapsed="false">
      <c r="A9" s="4" t="s">
        <v>149</v>
      </c>
      <c r="B9" s="4"/>
      <c r="C9" s="4"/>
      <c r="D9" s="4"/>
      <c r="E9" s="4"/>
      <c r="F9" s="4"/>
      <c r="G9" s="4"/>
      <c r="H9" s="4"/>
    </row>
    <row r="10" customFormat="false" ht="15" hidden="false" customHeight="false" outlineLevel="0" collapsed="false">
      <c r="A10" s="10" t="s">
        <v>150</v>
      </c>
      <c r="B10" s="20" t="n">
        <f aca="false">B5</f>
        <v>4.5</v>
      </c>
      <c r="C10" s="20" t="n">
        <f aca="false">C5</f>
        <v>5.7</v>
      </c>
      <c r="D10" s="20" t="n">
        <f aca="false">D5</f>
        <v>7.2</v>
      </c>
      <c r="E10" s="20" t="n">
        <f aca="false">E5</f>
        <v>9.03</v>
      </c>
      <c r="F10" s="20" t="n">
        <f aca="false">F5</f>
        <v>11.22</v>
      </c>
    </row>
    <row r="11" customFormat="false" ht="15" hidden="false" customHeight="false" outlineLevel="0" collapsed="false">
      <c r="A11" s="10" t="s">
        <v>151</v>
      </c>
      <c r="B11" s="20" t="n">
        <f aca="false">B6*0.92</f>
        <v>11.868</v>
      </c>
      <c r="C11" s="20" t="n">
        <f aca="false">C6*0.92</f>
        <v>14.2692</v>
      </c>
      <c r="D11" s="20" t="n">
        <f aca="false">D6*0.92</f>
        <v>17.0384</v>
      </c>
      <c r="E11" s="20" t="n">
        <f aca="false">E6*0.92</f>
        <v>20.4608</v>
      </c>
      <c r="F11" s="20" t="n">
        <f aca="false">F6*0.92</f>
        <v>24.334</v>
      </c>
    </row>
    <row r="12" customFormat="false" ht="15" hidden="false" customHeight="false" outlineLevel="0" collapsed="false">
      <c r="A12" s="10" t="s">
        <v>152</v>
      </c>
      <c r="B12" s="20" t="n">
        <f aca="false">B6*0.08</f>
        <v>1.032</v>
      </c>
      <c r="C12" s="20" t="n">
        <f aca="false">C6*0.08</f>
        <v>1.2408</v>
      </c>
      <c r="D12" s="20" t="n">
        <f aca="false">D6*0.08</f>
        <v>1.4816</v>
      </c>
      <c r="E12" s="20" t="n">
        <f aca="false">E6*0.08</f>
        <v>1.7792</v>
      </c>
      <c r="F12" s="20" t="n">
        <f aca="false">F6*0.08</f>
        <v>2.116</v>
      </c>
    </row>
    <row r="13" customFormat="false" ht="15" hidden="false" customHeight="false" outlineLevel="0" collapsed="false">
      <c r="A13" s="17" t="s">
        <v>153</v>
      </c>
      <c r="B13" s="18" t="n">
        <f aca="false">B10+B11</f>
        <v>16.368</v>
      </c>
      <c r="C13" s="18" t="n">
        <f aca="false">C10+C11</f>
        <v>19.9692</v>
      </c>
      <c r="D13" s="18" t="n">
        <f aca="false">D10+D11</f>
        <v>24.2384</v>
      </c>
      <c r="E13" s="18" t="n">
        <f aca="false">E10+E11</f>
        <v>29.4908</v>
      </c>
      <c r="F13" s="18" t="n">
        <f aca="false">F10+F11</f>
        <v>35.554</v>
      </c>
    </row>
    <row r="15" customFormat="false" ht="21.75" hidden="false" customHeight="true" outlineLevel="0" collapsed="false">
      <c r="A15" s="4" t="s">
        <v>154</v>
      </c>
      <c r="B15" s="4"/>
      <c r="C15" s="4"/>
      <c r="D15" s="4"/>
      <c r="E15" s="4"/>
      <c r="F15" s="4"/>
      <c r="G15" s="4"/>
      <c r="H15" s="4"/>
    </row>
    <row r="16" customFormat="false" ht="15" hidden="false" customHeight="false" outlineLevel="0" collapsed="false">
      <c r="A16" s="10" t="s">
        <v>155</v>
      </c>
      <c r="B16" s="20" t="n">
        <f aca="false">B5*Hypothèses!B44</f>
        <v>0.45</v>
      </c>
      <c r="C16" s="20" t="n">
        <f aca="false">C5*Hypothèses!C44</f>
        <v>0.57</v>
      </c>
      <c r="D16" s="20" t="n">
        <f aca="false">D5*Hypothèses!D44</f>
        <v>0.72</v>
      </c>
      <c r="E16" s="20" t="n">
        <f aca="false">E5*Hypothèses!E44</f>
        <v>0.903</v>
      </c>
      <c r="F16" s="20" t="n">
        <f aca="false">F5*Hypothèses!F44</f>
        <v>1.122</v>
      </c>
    </row>
    <row r="17" customFormat="false" ht="15" hidden="false" customHeight="false" outlineLevel="0" collapsed="false">
      <c r="A17" s="10" t="s">
        <v>156</v>
      </c>
      <c r="B17" s="20" t="n">
        <f aca="false">B6*Hypothèses!B42</f>
        <v>3.225</v>
      </c>
      <c r="C17" s="20" t="n">
        <f aca="false">C6*Hypothèses!C42</f>
        <v>3.8775</v>
      </c>
      <c r="D17" s="20" t="n">
        <f aca="false">D6*Hypothèses!D42</f>
        <v>4.63</v>
      </c>
      <c r="E17" s="20" t="n">
        <f aca="false">E6*Hypothèses!E42</f>
        <v>5.56</v>
      </c>
      <c r="F17" s="20" t="n">
        <f aca="false">F6*Hypothèses!F42</f>
        <v>6.6125</v>
      </c>
    </row>
    <row r="18" customFormat="false" ht="15" hidden="false" customHeight="false" outlineLevel="0" collapsed="false">
      <c r="A18" s="17" t="s">
        <v>157</v>
      </c>
      <c r="B18" s="18" t="n">
        <f aca="false">B16+B17</f>
        <v>3.675</v>
      </c>
      <c r="C18" s="18" t="n">
        <f aca="false">C16+C17</f>
        <v>4.4475</v>
      </c>
      <c r="D18" s="18" t="n">
        <f aca="false">D16+D17</f>
        <v>5.35</v>
      </c>
      <c r="E18" s="18" t="n">
        <f aca="false">E16+E17</f>
        <v>6.463</v>
      </c>
      <c r="F18" s="18" t="n">
        <f aca="false">F16+F17</f>
        <v>7.7345</v>
      </c>
    </row>
    <row r="19" customFormat="false" ht="15" hidden="false" customHeight="false" outlineLevel="0" collapsed="false">
      <c r="A19" s="10" t="s">
        <v>158</v>
      </c>
      <c r="B19" s="20" t="n">
        <f aca="false">B18*Hypothèses!B43</f>
        <v>0.91875</v>
      </c>
      <c r="C19" s="20" t="n">
        <f aca="false">C18*Hypothèses!C43</f>
        <v>1.111875</v>
      </c>
      <c r="D19" s="20" t="n">
        <f aca="false">D18*Hypothèses!D43</f>
        <v>1.3375</v>
      </c>
      <c r="E19" s="20" t="n">
        <f aca="false">E18*Hypothèses!E43</f>
        <v>1.61575</v>
      </c>
      <c r="F19" s="20" t="n">
        <f aca="false">F18*Hypothèses!F43</f>
        <v>1.933625</v>
      </c>
    </row>
    <row r="21" customFormat="false" ht="21.75" hidden="false" customHeight="true" outlineLevel="0" collapsed="false">
      <c r="A21" s="4" t="s">
        <v>159</v>
      </c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17" t="s">
        <v>160</v>
      </c>
      <c r="B22" s="18" t="n">
        <f aca="false">B10-B16</f>
        <v>4.05</v>
      </c>
      <c r="C22" s="18" t="n">
        <f aca="false">C10-C16</f>
        <v>5.13</v>
      </c>
      <c r="D22" s="18" t="n">
        <f aca="false">D10-D16</f>
        <v>6.48</v>
      </c>
      <c r="E22" s="18" t="n">
        <f aca="false">E10-E16</f>
        <v>8.127</v>
      </c>
      <c r="F22" s="18" t="n">
        <f aca="false">F10-F16</f>
        <v>10.098</v>
      </c>
    </row>
    <row r="23" customFormat="false" ht="15" hidden="false" customHeight="false" outlineLevel="0" collapsed="false">
      <c r="A23" s="17" t="s">
        <v>161</v>
      </c>
      <c r="B23" s="18" t="n">
        <f aca="false">B11-B17</f>
        <v>8.643</v>
      </c>
      <c r="C23" s="18" t="n">
        <f aca="false">C11-C17</f>
        <v>10.3917</v>
      </c>
      <c r="D23" s="18" t="n">
        <f aca="false">D11-D17</f>
        <v>12.4084</v>
      </c>
      <c r="E23" s="18" t="n">
        <f aca="false">E11-E17</f>
        <v>14.9008</v>
      </c>
      <c r="F23" s="18" t="n">
        <f aca="false">F11-F17</f>
        <v>17.7215</v>
      </c>
    </row>
    <row r="24" customFormat="false" ht="15" hidden="false" customHeight="false" outlineLevel="0" collapsed="false">
      <c r="A24" s="17" t="s">
        <v>162</v>
      </c>
      <c r="B24" s="19" t="n">
        <f aca="false">B22+B23</f>
        <v>12.693</v>
      </c>
      <c r="C24" s="19" t="n">
        <f aca="false">C22+C23</f>
        <v>15.5217</v>
      </c>
      <c r="D24" s="19" t="n">
        <f aca="false">D22+D23</f>
        <v>18.8884</v>
      </c>
      <c r="E24" s="19" t="n">
        <f aca="false">E22+E23</f>
        <v>23.0278</v>
      </c>
      <c r="F24" s="19" t="n">
        <f aca="false">F22+F23</f>
        <v>27.8195</v>
      </c>
    </row>
  </sheetData>
  <mergeCells count="5">
    <mergeCell ref="A1:H1"/>
    <mergeCell ref="A4:H4"/>
    <mergeCell ref="A9:H9"/>
    <mergeCell ref="A15:H15"/>
    <mergeCell ref="A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6" min="2" style="0" width="14"/>
    <col collapsed="false" customWidth="true" hidden="false" outlineLevel="0" max="7" min="7" style="0" width="4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1" t="s">
        <v>163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8"/>
      <c r="B3" s="9" t="s">
        <v>51</v>
      </c>
      <c r="C3" s="9" t="s">
        <v>52</v>
      </c>
      <c r="D3" s="9" t="s">
        <v>53</v>
      </c>
      <c r="E3" s="9" t="s">
        <v>54</v>
      </c>
      <c r="F3" s="9" t="s">
        <v>55</v>
      </c>
    </row>
    <row r="4" customFormat="false" ht="21.75" hidden="false" customHeight="true" outlineLevel="0" collapsed="false">
      <c r="A4" s="4" t="s">
        <v>164</v>
      </c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10" t="s">
        <v>165</v>
      </c>
      <c r="B5" s="20" t="n">
        <f aca="false">Portefeuille!B12*Hypothèses!B27</f>
        <v>4.913</v>
      </c>
      <c r="C5" s="20" t="n">
        <f aca="false">Portefeuille!C12*Hypothèses!C27</f>
        <v>5.643</v>
      </c>
      <c r="D5" s="20" t="n">
        <f aca="false">Portefeuille!D12*Hypothèses!D27</f>
        <v>6.5455</v>
      </c>
      <c r="E5" s="20" t="n">
        <f aca="false">Portefeuille!E12*Hypothèses!E27</f>
        <v>7.616</v>
      </c>
      <c r="F5" s="20" t="n">
        <f aca="false">Portefeuille!F12*Hypothèses!F27</f>
        <v>8.79795</v>
      </c>
    </row>
    <row r="6" customFormat="false" ht="15" hidden="false" customHeight="false" outlineLevel="0" collapsed="false">
      <c r="A6" s="10" t="s">
        <v>166</v>
      </c>
      <c r="B6" s="20" t="n">
        <f aca="false">Portefeuille!B17*Hypothèses!B28</f>
        <v>1.63625</v>
      </c>
      <c r="C6" s="20" t="n">
        <f aca="false">Portefeuille!C17*Hypothèses!C28</f>
        <v>1.944</v>
      </c>
      <c r="D6" s="20" t="n">
        <f aca="false">Portefeuille!D17*Hypothèses!D28</f>
        <v>2.3161</v>
      </c>
      <c r="E6" s="20" t="n">
        <f aca="false">Portefeuille!E17*Hypothèses!E28</f>
        <v>2.756</v>
      </c>
      <c r="F6" s="20" t="n">
        <f aca="false">Portefeuille!F17*Hypothèses!F28</f>
        <v>3.26655</v>
      </c>
    </row>
    <row r="7" customFormat="false" ht="15" hidden="false" customHeight="false" outlineLevel="0" collapsed="false">
      <c r="A7" s="10" t="s">
        <v>167</v>
      </c>
      <c r="B7" s="20" t="n">
        <f aca="false">Portefeuille!B22*Hypothèses!B29</f>
        <v>1.944</v>
      </c>
      <c r="C7" s="20" t="n">
        <f aca="false">Portefeuille!C22*Hypothèses!C29</f>
        <v>2.3856</v>
      </c>
      <c r="D7" s="20" t="n">
        <f aca="false">Portefeuille!D22*Hypothèses!D29</f>
        <v>2.856</v>
      </c>
      <c r="E7" s="20" t="n">
        <f aca="false">Portefeuille!E22*Hypothèses!E29</f>
        <v>3.4776</v>
      </c>
      <c r="F7" s="20" t="n">
        <f aca="false">Portefeuille!F22*Hypothèses!F29</f>
        <v>4.1344</v>
      </c>
    </row>
    <row r="8" customFormat="false" ht="15" hidden="false" customHeight="false" outlineLevel="0" collapsed="false">
      <c r="A8" s="17" t="s">
        <v>168</v>
      </c>
      <c r="B8" s="18" t="n">
        <f aca="false">B5+B6+B7</f>
        <v>8.49325</v>
      </c>
      <c r="C8" s="18" t="n">
        <f aca="false">C5+C6+C7</f>
        <v>9.9726</v>
      </c>
      <c r="D8" s="18" t="n">
        <f aca="false">D5+D6+D7</f>
        <v>11.7176</v>
      </c>
      <c r="E8" s="18" t="n">
        <f aca="false">E5+E6+E7</f>
        <v>13.8496</v>
      </c>
      <c r="F8" s="18" t="n">
        <f aca="false">F5+F6+F7</f>
        <v>16.1989</v>
      </c>
    </row>
    <row r="10" customFormat="false" ht="21.75" hidden="false" customHeight="true" outlineLevel="0" collapsed="false">
      <c r="A10" s="4" t="s">
        <v>169</v>
      </c>
      <c r="B10" s="4"/>
      <c r="C10" s="4"/>
      <c r="D10" s="4"/>
      <c r="E10" s="4"/>
      <c r="F10" s="4"/>
      <c r="G10" s="4"/>
      <c r="H10" s="4"/>
    </row>
    <row r="11" customFormat="false" ht="15" hidden="false" customHeight="false" outlineLevel="0" collapsed="false">
      <c r="A11" s="10" t="s">
        <v>170</v>
      </c>
      <c r="B11" s="20" t="n">
        <f aca="false">Primes!B5*0.6</f>
        <v>2.7</v>
      </c>
      <c r="C11" s="20" t="n">
        <f aca="false">Primes!C5*0.6</f>
        <v>3.42</v>
      </c>
      <c r="D11" s="20" t="n">
        <f aca="false">Primes!D5*0.6</f>
        <v>4.32</v>
      </c>
      <c r="E11" s="20" t="n">
        <f aca="false">Primes!E5*0.6</f>
        <v>5.418</v>
      </c>
      <c r="F11" s="20" t="n">
        <f aca="false">Primes!F5*0.6</f>
        <v>6.732</v>
      </c>
    </row>
    <row r="12" customFormat="false" ht="15" hidden="false" customHeight="false" outlineLevel="0" collapsed="false">
      <c r="A12" s="17" t="s">
        <v>171</v>
      </c>
      <c r="B12" s="19" t="n">
        <f aca="false">B8+B11</f>
        <v>11.19325</v>
      </c>
      <c r="C12" s="19" t="n">
        <f aca="false">C8+C11</f>
        <v>13.3926</v>
      </c>
      <c r="D12" s="19" t="n">
        <f aca="false">D8+D11</f>
        <v>16.0376</v>
      </c>
      <c r="E12" s="19" t="n">
        <f aca="false">E8+E11</f>
        <v>19.2676</v>
      </c>
      <c r="F12" s="19" t="n">
        <f aca="false">F8+F11</f>
        <v>22.9309</v>
      </c>
    </row>
    <row r="14" customFormat="false" ht="21.75" hidden="false" customHeight="true" outlineLevel="0" collapsed="false">
      <c r="A14" s="4" t="s">
        <v>172</v>
      </c>
      <c r="B14" s="4"/>
      <c r="C14" s="4"/>
      <c r="D14" s="4"/>
      <c r="E14" s="4"/>
      <c r="F14" s="4"/>
      <c r="G14" s="4"/>
      <c r="H14" s="4"/>
    </row>
    <row r="15" customFormat="false" ht="15" hidden="false" customHeight="false" outlineLevel="0" collapsed="false">
      <c r="A15" s="10" t="s">
        <v>173</v>
      </c>
      <c r="B15" s="20" t="n">
        <f aca="false">B8*Hypothèses!B30</f>
        <v>1.01919</v>
      </c>
      <c r="C15" s="20" t="n">
        <f aca="false">C8*Hypothèses!C30</f>
        <v>1.196712</v>
      </c>
      <c r="D15" s="20" t="n">
        <f aca="false">D8*Hypothèses!D30</f>
        <v>1.406112</v>
      </c>
      <c r="E15" s="20" t="n">
        <f aca="false">E8*Hypothèses!E30</f>
        <v>1.661952</v>
      </c>
      <c r="F15" s="20" t="n">
        <f aca="false">F8*Hypothèses!F30</f>
        <v>1.943868</v>
      </c>
    </row>
    <row r="16" customFormat="false" ht="15" hidden="false" customHeight="false" outlineLevel="0" collapsed="false">
      <c r="A16" s="10" t="s">
        <v>174</v>
      </c>
      <c r="B16" s="20" t="n">
        <f aca="false">B8*0.4</f>
        <v>3.3973</v>
      </c>
      <c r="C16" s="20" t="n">
        <f aca="false">C8*0.4</f>
        <v>3.98904</v>
      </c>
      <c r="D16" s="20" t="n">
        <f aca="false">D8*0.4</f>
        <v>4.68704</v>
      </c>
      <c r="E16" s="20" t="n">
        <f aca="false">E8*0.4</f>
        <v>5.53984</v>
      </c>
      <c r="F16" s="20" t="n">
        <f aca="false">F8*0.4</f>
        <v>6.47956</v>
      </c>
    </row>
    <row r="17" customFormat="false" ht="15" hidden="false" customHeight="false" outlineLevel="0" collapsed="false">
      <c r="A17" s="17" t="s">
        <v>175</v>
      </c>
      <c r="B17" s="18" t="n">
        <f aca="false">B8+B15</f>
        <v>9.51244</v>
      </c>
      <c r="C17" s="18" t="n">
        <f aca="false">C8+C15</f>
        <v>11.169312</v>
      </c>
      <c r="D17" s="18" t="n">
        <f aca="false">D8+D15</f>
        <v>13.123712</v>
      </c>
      <c r="E17" s="18" t="n">
        <f aca="false">E8+E15</f>
        <v>15.511552</v>
      </c>
      <c r="F17" s="18" t="n">
        <f aca="false">F8+F15</f>
        <v>18.142768</v>
      </c>
    </row>
    <row r="19" customFormat="false" ht="21.75" hidden="false" customHeight="true" outlineLevel="0" collapsed="false">
      <c r="A19" s="4" t="s">
        <v>176</v>
      </c>
      <c r="B19" s="4"/>
      <c r="C19" s="4"/>
      <c r="D19" s="4"/>
      <c r="E19" s="4"/>
      <c r="F19" s="4"/>
      <c r="G19" s="4"/>
      <c r="H19" s="4"/>
    </row>
    <row r="20" customFormat="false" ht="15" hidden="false" customHeight="false" outlineLevel="0" collapsed="false">
      <c r="A20" s="10" t="s">
        <v>177</v>
      </c>
      <c r="B20" s="20" t="n">
        <f aca="false">B12*Hypothèses!B39</f>
        <v>0.5596625</v>
      </c>
      <c r="C20" s="20" t="n">
        <f aca="false">C12*Hypothèses!C39</f>
        <v>0.66963</v>
      </c>
      <c r="D20" s="20" t="n">
        <f aca="false">D12*Hypothèses!D39</f>
        <v>0.80188</v>
      </c>
      <c r="E20" s="20" t="n">
        <f aca="false">E12*Hypothèses!E39</f>
        <v>0.96338</v>
      </c>
      <c r="F20" s="20" t="n">
        <f aca="false">F12*Hypothèses!F39</f>
        <v>1.146545</v>
      </c>
    </row>
  </sheetData>
  <mergeCells count="5">
    <mergeCell ref="A1:H1"/>
    <mergeCell ref="A4:H4"/>
    <mergeCell ref="A10:H10"/>
    <mergeCell ref="A14:H14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6" min="2" style="0" width="14"/>
    <col collapsed="false" customWidth="true" hidden="false" outlineLevel="0" max="7" min="7" style="0" width="4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1" t="s">
        <v>178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8"/>
      <c r="B3" s="9" t="s">
        <v>51</v>
      </c>
      <c r="C3" s="9" t="s">
        <v>52</v>
      </c>
      <c r="D3" s="9" t="s">
        <v>53</v>
      </c>
      <c r="E3" s="9" t="s">
        <v>54</v>
      </c>
      <c r="F3" s="9" t="s">
        <v>55</v>
      </c>
    </row>
    <row r="4" customFormat="false" ht="21.75" hidden="false" customHeight="true" outlineLevel="0" collapsed="false">
      <c r="A4" s="4" t="s">
        <v>179</v>
      </c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10" t="s">
        <v>180</v>
      </c>
      <c r="B5" s="13" t="n">
        <v>20</v>
      </c>
      <c r="C5" s="20" t="n">
        <f aca="false">B6</f>
        <v>21.15</v>
      </c>
      <c r="D5" s="20" t="n">
        <f aca="false">C6</f>
        <v>22.46025</v>
      </c>
      <c r="E5" s="20" t="n">
        <f aca="false">D6</f>
        <v>23.96635875</v>
      </c>
      <c r="F5" s="20" t="n">
        <f aca="false">E6</f>
        <v>25.70818130625</v>
      </c>
    </row>
    <row r="6" customFormat="false" ht="15" hidden="false" customHeight="false" outlineLevel="0" collapsed="false">
      <c r="A6" s="17" t="s">
        <v>181</v>
      </c>
      <c r="B6" s="18" t="n">
        <f aca="false">B5*(1+Hypothèses!B15)+Primes!B5*0.7-Sinistres!B11</f>
        <v>21.15</v>
      </c>
      <c r="C6" s="18" t="n">
        <f aca="false">C5*(1+Hypothèses!C15)+Primes!C5*0.7-Sinistres!C11</f>
        <v>22.46025</v>
      </c>
      <c r="D6" s="18" t="n">
        <f aca="false">D5*(1+Hypothèses!D15)+Primes!D5*0.7-Sinistres!D11</f>
        <v>23.96635875</v>
      </c>
      <c r="E6" s="18" t="n">
        <f aca="false">E5*(1+Hypothèses!E15)+Primes!E5*0.7-Sinistres!E11</f>
        <v>25.70818130625</v>
      </c>
      <c r="F6" s="18" t="n">
        <f aca="false">F5*(1+Hypothèses!F15)+Primes!F5*0.7-Sinistres!F11</f>
        <v>27.7299676519687</v>
      </c>
    </row>
    <row r="7" customFormat="false" ht="15" hidden="false" customHeight="false" outlineLevel="0" collapsed="false">
      <c r="A7" s="17" t="s">
        <v>182</v>
      </c>
      <c r="B7" s="18" t="n">
        <f aca="false">B6-B5</f>
        <v>1.15</v>
      </c>
      <c r="C7" s="18" t="n">
        <f aca="false">C6-C5</f>
        <v>1.31025</v>
      </c>
      <c r="D7" s="18" t="n">
        <f aca="false">D6-D5</f>
        <v>1.50610875</v>
      </c>
      <c r="E7" s="18" t="n">
        <f aca="false">E6-E5</f>
        <v>1.74182255625</v>
      </c>
      <c r="F7" s="18" t="n">
        <f aca="false">F6-F5</f>
        <v>2.02178634571875</v>
      </c>
    </row>
    <row r="9" customFormat="false" ht="21.75" hidden="false" customHeight="true" outlineLevel="0" collapsed="false">
      <c r="A9" s="4" t="s">
        <v>183</v>
      </c>
      <c r="B9" s="4"/>
      <c r="C9" s="4"/>
      <c r="D9" s="4"/>
      <c r="E9" s="4"/>
      <c r="F9" s="4"/>
      <c r="G9" s="4"/>
      <c r="H9" s="4"/>
    </row>
    <row r="10" customFormat="false" ht="15" hidden="false" customHeight="false" outlineLevel="0" collapsed="false">
      <c r="A10" s="10" t="s">
        <v>184</v>
      </c>
      <c r="B10" s="20" t="n">
        <f aca="false">Primes!B6*0.08</f>
        <v>1.032</v>
      </c>
      <c r="C10" s="20" t="n">
        <f aca="false">Primes!C6*0.08</f>
        <v>1.2408</v>
      </c>
      <c r="D10" s="20" t="n">
        <f aca="false">Primes!D6*0.08</f>
        <v>1.4816</v>
      </c>
      <c r="E10" s="20" t="n">
        <f aca="false">Primes!E6*0.08</f>
        <v>1.7792</v>
      </c>
      <c r="F10" s="20" t="n">
        <f aca="false">Primes!F6*0.08</f>
        <v>2.116</v>
      </c>
    </row>
    <row r="11" customFormat="false" ht="15" hidden="false" customHeight="false" outlineLevel="0" collapsed="false">
      <c r="A11" s="10" t="s">
        <v>174</v>
      </c>
      <c r="B11" s="16" t="n">
        <f aca="false">Sinistres!B16</f>
        <v>3.3973</v>
      </c>
      <c r="C11" s="16" t="n">
        <f aca="false">Sinistres!C16</f>
        <v>3.98904</v>
      </c>
      <c r="D11" s="16" t="n">
        <f aca="false">Sinistres!D16</f>
        <v>4.68704</v>
      </c>
      <c r="E11" s="16" t="n">
        <f aca="false">Sinistres!E16</f>
        <v>5.53984</v>
      </c>
      <c r="F11" s="16" t="n">
        <f aca="false">Sinistres!F16</f>
        <v>6.47956</v>
      </c>
    </row>
    <row r="12" customFormat="false" ht="15" hidden="false" customHeight="false" outlineLevel="0" collapsed="false">
      <c r="A12" s="10" t="s">
        <v>185</v>
      </c>
      <c r="B12" s="20" t="n">
        <f aca="false">B10*0.05</f>
        <v>0.0516</v>
      </c>
      <c r="C12" s="20" t="n">
        <f aca="false">C10*0.05</f>
        <v>0.06204</v>
      </c>
      <c r="D12" s="20" t="n">
        <f aca="false">D10*0.05</f>
        <v>0.07408</v>
      </c>
      <c r="E12" s="20" t="n">
        <f aca="false">E10*0.05</f>
        <v>0.08896</v>
      </c>
      <c r="F12" s="20" t="n">
        <f aca="false">F10*0.05</f>
        <v>0.1058</v>
      </c>
    </row>
    <row r="13" customFormat="false" ht="15" hidden="false" customHeight="false" outlineLevel="0" collapsed="false">
      <c r="A13" s="17" t="s">
        <v>186</v>
      </c>
      <c r="B13" s="18" t="n">
        <f aca="false">B10+B11+B12</f>
        <v>4.4809</v>
      </c>
      <c r="C13" s="18" t="n">
        <f aca="false">C10+C11+C12</f>
        <v>5.29188</v>
      </c>
      <c r="D13" s="18" t="n">
        <f aca="false">D10+D11+D12</f>
        <v>6.24272</v>
      </c>
      <c r="E13" s="18" t="n">
        <f aca="false">E10+E11+E12</f>
        <v>7.408</v>
      </c>
      <c r="F13" s="18" t="n">
        <f aca="false">F10+F11+F12</f>
        <v>8.70136</v>
      </c>
    </row>
    <row r="15" customFormat="false" ht="21.75" hidden="false" customHeight="true" outlineLevel="0" collapsed="false">
      <c r="A15" s="4" t="s">
        <v>187</v>
      </c>
      <c r="B15" s="4"/>
      <c r="C15" s="4"/>
      <c r="D15" s="4"/>
      <c r="E15" s="4"/>
      <c r="F15" s="4"/>
      <c r="G15" s="4"/>
      <c r="H15" s="4"/>
    </row>
    <row r="16" customFormat="false" ht="15" hidden="false" customHeight="false" outlineLevel="0" collapsed="false">
      <c r="A16" s="17" t="s">
        <v>188</v>
      </c>
      <c r="B16" s="19" t="n">
        <f aca="false">B6+B13</f>
        <v>25.6309</v>
      </c>
      <c r="C16" s="19" t="n">
        <f aca="false">C6+C13</f>
        <v>27.75213</v>
      </c>
      <c r="D16" s="19" t="n">
        <f aca="false">D6+D13</f>
        <v>30.20907875</v>
      </c>
      <c r="E16" s="19" t="n">
        <f aca="false">E6+E13</f>
        <v>33.11618130625</v>
      </c>
      <c r="F16" s="19" t="n">
        <f aca="false">F6+F13</f>
        <v>36.4313276519687</v>
      </c>
    </row>
  </sheetData>
  <mergeCells count="4">
    <mergeCell ref="A1:H1"/>
    <mergeCell ref="A4:H4"/>
    <mergeCell ref="A9:H9"/>
    <mergeCell ref="A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6" min="2" style="0" width="14"/>
    <col collapsed="false" customWidth="true" hidden="false" outlineLevel="0" max="7" min="7" style="0" width="4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1" t="s">
        <v>189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8"/>
      <c r="B3" s="9" t="s">
        <v>51</v>
      </c>
      <c r="C3" s="9" t="s">
        <v>52</v>
      </c>
      <c r="D3" s="9" t="s">
        <v>53</v>
      </c>
      <c r="E3" s="9" t="s">
        <v>54</v>
      </c>
      <c r="F3" s="9" t="s">
        <v>55</v>
      </c>
    </row>
    <row r="4" customFormat="false" ht="21.75" hidden="false" customHeight="true" outlineLevel="0" collapsed="false">
      <c r="A4" s="4" t="s">
        <v>190</v>
      </c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17" t="s">
        <v>191</v>
      </c>
      <c r="B5" s="18" t="n">
        <f aca="false">'Provisions techniques'!B16+Hypothèses!B59</f>
        <v>30.6309</v>
      </c>
      <c r="C5" s="18" t="n">
        <f aca="false">'Provisions techniques'!C16+Hypothèses!C59</f>
        <v>32.75213</v>
      </c>
      <c r="D5" s="18" t="n">
        <f aca="false">'Provisions techniques'!D16+Hypothèses!D59</f>
        <v>35.20907875</v>
      </c>
      <c r="E5" s="18" t="n">
        <f aca="false">'Provisions techniques'!E16+Hypothèses!E59</f>
        <v>43.11618130625</v>
      </c>
      <c r="F5" s="18" t="n">
        <f aca="false">'Provisions techniques'!F16+Hypothèses!F59</f>
        <v>46.4313276519687</v>
      </c>
    </row>
    <row r="7" customFormat="false" ht="21.75" hidden="false" customHeight="true" outlineLevel="0" collapsed="false">
      <c r="A7" s="4" t="s">
        <v>192</v>
      </c>
      <c r="B7" s="4"/>
      <c r="C7" s="4"/>
      <c r="D7" s="4"/>
      <c r="E7" s="4"/>
      <c r="F7" s="4"/>
      <c r="G7" s="4"/>
      <c r="H7" s="4"/>
    </row>
    <row r="8" customFormat="false" ht="15" hidden="false" customHeight="false" outlineLevel="0" collapsed="false">
      <c r="A8" s="10" t="s">
        <v>193</v>
      </c>
      <c r="B8" s="20" t="n">
        <f aca="false">B5*Hypothèses!B47</f>
        <v>13.783905</v>
      </c>
      <c r="C8" s="20" t="n">
        <f aca="false">C5*Hypothèses!C47</f>
        <v>14.7384585</v>
      </c>
      <c r="D8" s="20" t="n">
        <f aca="false">D5*Hypothèses!D47</f>
        <v>15.8440854375</v>
      </c>
      <c r="E8" s="20" t="n">
        <f aca="false">E5*Hypothèses!E47</f>
        <v>19.4022815878125</v>
      </c>
      <c r="F8" s="20" t="n">
        <f aca="false">F5*Hypothèses!F47</f>
        <v>20.8940974433859</v>
      </c>
    </row>
    <row r="9" customFormat="false" ht="15" hidden="false" customHeight="false" outlineLevel="0" collapsed="false">
      <c r="A9" s="10" t="s">
        <v>194</v>
      </c>
      <c r="B9" s="20" t="n">
        <f aca="false">B5*Hypothèses!B48</f>
        <v>6.12618</v>
      </c>
      <c r="C9" s="20" t="n">
        <f aca="false">C5*Hypothèses!C48</f>
        <v>6.550426</v>
      </c>
      <c r="D9" s="20" t="n">
        <f aca="false">D5*Hypothèses!D48</f>
        <v>7.04181575</v>
      </c>
      <c r="E9" s="20" t="n">
        <f aca="false">E5*Hypothèses!E48</f>
        <v>8.62323626125</v>
      </c>
      <c r="F9" s="20" t="n">
        <f aca="false">F5*Hypothèses!F48</f>
        <v>9.28626553039375</v>
      </c>
    </row>
    <row r="10" customFormat="false" ht="15" hidden="false" customHeight="false" outlineLevel="0" collapsed="false">
      <c r="A10" s="10" t="s">
        <v>195</v>
      </c>
      <c r="B10" s="20" t="n">
        <f aca="false">B5*Hypothèses!B49</f>
        <v>6.12618</v>
      </c>
      <c r="C10" s="20" t="n">
        <f aca="false">C5*Hypothèses!C49</f>
        <v>6.550426</v>
      </c>
      <c r="D10" s="20" t="n">
        <f aca="false">D5*Hypothèses!D49</f>
        <v>7.04181575</v>
      </c>
      <c r="E10" s="20" t="n">
        <f aca="false">E5*Hypothèses!E49</f>
        <v>8.62323626125</v>
      </c>
      <c r="F10" s="20" t="n">
        <f aca="false">F5*Hypothèses!F49</f>
        <v>9.28626553039375</v>
      </c>
    </row>
    <row r="11" customFormat="false" ht="15" hidden="false" customHeight="false" outlineLevel="0" collapsed="false">
      <c r="A11" s="10" t="s">
        <v>196</v>
      </c>
      <c r="B11" s="20" t="n">
        <f aca="false">B5*Hypothèses!B50</f>
        <v>3.06309</v>
      </c>
      <c r="C11" s="20" t="n">
        <f aca="false">C5*Hypothèses!C50</f>
        <v>3.275213</v>
      </c>
      <c r="D11" s="20" t="n">
        <f aca="false">D5*Hypothèses!D50</f>
        <v>3.520907875</v>
      </c>
      <c r="E11" s="20" t="n">
        <f aca="false">E5*Hypothèses!E50</f>
        <v>4.311618130625</v>
      </c>
      <c r="F11" s="20" t="n">
        <f aca="false">F5*Hypothèses!F50</f>
        <v>4.64313276519687</v>
      </c>
    </row>
    <row r="12" customFormat="false" ht="15" hidden="false" customHeight="false" outlineLevel="0" collapsed="false">
      <c r="A12" s="10" t="s">
        <v>197</v>
      </c>
      <c r="B12" s="20" t="n">
        <f aca="false">B5*Hypothèses!B51</f>
        <v>1.531545</v>
      </c>
      <c r="C12" s="20" t="n">
        <f aca="false">C5*Hypothèses!C51</f>
        <v>1.6376065</v>
      </c>
      <c r="D12" s="20" t="n">
        <f aca="false">D5*Hypothèses!D51</f>
        <v>1.7604539375</v>
      </c>
      <c r="E12" s="20" t="n">
        <f aca="false">E5*Hypothèses!E51</f>
        <v>2.1558090653125</v>
      </c>
      <c r="F12" s="20" t="n">
        <f aca="false">F5*Hypothèses!F51</f>
        <v>2.32156638259844</v>
      </c>
    </row>
    <row r="13" customFormat="false" ht="15" hidden="false" customHeight="false" outlineLevel="0" collapsed="false">
      <c r="A13" s="17" t="s">
        <v>198</v>
      </c>
      <c r="B13" s="18" t="n">
        <f aca="false">SUM(B8:B12)</f>
        <v>30.6309</v>
      </c>
      <c r="C13" s="18" t="n">
        <f aca="false">SUM(C8:C12)</f>
        <v>32.75213</v>
      </c>
      <c r="D13" s="18" t="n">
        <f aca="false">SUM(D8:D12)</f>
        <v>35.20907875</v>
      </c>
      <c r="E13" s="18" t="n">
        <f aca="false">SUM(E8:E12)</f>
        <v>43.11618130625</v>
      </c>
      <c r="F13" s="18" t="n">
        <f aca="false">SUM(F8:F12)</f>
        <v>46.4313276519687</v>
      </c>
    </row>
    <row r="15" customFormat="false" ht="21.75" hidden="false" customHeight="true" outlineLevel="0" collapsed="false">
      <c r="A15" s="4" t="s">
        <v>199</v>
      </c>
      <c r="B15" s="4"/>
      <c r="C15" s="4"/>
      <c r="D15" s="4"/>
      <c r="E15" s="4"/>
      <c r="F15" s="4"/>
      <c r="G15" s="4"/>
      <c r="H15" s="4"/>
    </row>
    <row r="16" customFormat="false" ht="15" hidden="false" customHeight="false" outlineLevel="0" collapsed="false">
      <c r="A16" s="10" t="s">
        <v>200</v>
      </c>
      <c r="B16" s="20" t="n">
        <f aca="false">B8*Hypothèses!B52</f>
        <v>0.758114775</v>
      </c>
      <c r="C16" s="20" t="n">
        <f aca="false">C8*Hypothèses!C52</f>
        <v>0.8106152175</v>
      </c>
      <c r="D16" s="20" t="n">
        <f aca="false">D8*Hypothèses!D52</f>
        <v>0.792204271875</v>
      </c>
      <c r="E16" s="20" t="n">
        <f aca="false">E8*Hypothèses!E52</f>
        <v>0.970114079390625</v>
      </c>
      <c r="F16" s="20" t="n">
        <f aca="false">F8*Hypothèses!F52</f>
        <v>0.940234384952367</v>
      </c>
    </row>
    <row r="17" customFormat="false" ht="15" hidden="false" customHeight="false" outlineLevel="0" collapsed="false">
      <c r="A17" s="10" t="s">
        <v>201</v>
      </c>
      <c r="B17" s="20" t="n">
        <f aca="false">B9*Hypothèses!B53</f>
        <v>0.2450472</v>
      </c>
      <c r="C17" s="20" t="n">
        <f aca="false">C9*Hypothèses!C53</f>
        <v>0.26201704</v>
      </c>
      <c r="D17" s="20" t="n">
        <f aca="false">D9*Hypothèses!D53</f>
        <v>0.2675889985</v>
      </c>
      <c r="E17" s="20" t="n">
        <f aca="false">E9*Hypothèses!E53</f>
        <v>0.3276829779275</v>
      </c>
      <c r="F17" s="20" t="n">
        <f aca="false">F9*Hypothèses!F53</f>
        <v>0.325019293563781</v>
      </c>
    </row>
    <row r="18" customFormat="false" ht="15" hidden="false" customHeight="false" outlineLevel="0" collapsed="false">
      <c r="A18" s="10" t="s">
        <v>202</v>
      </c>
      <c r="B18" s="20" t="n">
        <f aca="false">B10*Hypothèses!B54</f>
        <v>0.4288326</v>
      </c>
      <c r="C18" s="20" t="n">
        <f aca="false">C10*Hypothèses!C54</f>
        <v>0.45852982</v>
      </c>
      <c r="D18" s="20" t="n">
        <f aca="false">D10*Hypothèses!D54</f>
        <v>0.4929271025</v>
      </c>
      <c r="E18" s="20" t="n">
        <f aca="false">E10*Hypothèses!E54</f>
        <v>0.6036265382875</v>
      </c>
      <c r="F18" s="20" t="n">
        <f aca="false">F10*Hypothèses!F54</f>
        <v>0.650038587127562</v>
      </c>
    </row>
    <row r="19" customFormat="false" ht="15" hidden="false" customHeight="false" outlineLevel="0" collapsed="false">
      <c r="A19" s="10" t="s">
        <v>203</v>
      </c>
      <c r="B19" s="20" t="n">
        <f aca="false">B11*Hypothèses!B55</f>
        <v>0.306309</v>
      </c>
      <c r="C19" s="20" t="n">
        <f aca="false">C11*Hypothèses!C55</f>
        <v>0.3275213</v>
      </c>
      <c r="D19" s="20" t="n">
        <f aca="false">D11*Hypothèses!D55</f>
        <v>0.3520907875</v>
      </c>
      <c r="E19" s="20" t="n">
        <f aca="false">E11*Hypothèses!E55</f>
        <v>0.4311618130625</v>
      </c>
      <c r="F19" s="20" t="n">
        <f aca="false">F11*Hypothèses!F55</f>
        <v>0.464313276519687</v>
      </c>
    </row>
    <row r="20" customFormat="false" ht="15" hidden="false" customHeight="false" outlineLevel="0" collapsed="false">
      <c r="A20" s="10" t="s">
        <v>204</v>
      </c>
      <c r="B20" s="20" t="n">
        <f aca="false">B12*Hypothèses!B56</f>
        <v>0.068919525</v>
      </c>
      <c r="C20" s="20" t="n">
        <f aca="false">C12*Hypothèses!C56</f>
        <v>0.0736922925</v>
      </c>
      <c r="D20" s="20" t="n">
        <f aca="false">D12*Hypothèses!D56</f>
        <v>0.0792204271875</v>
      </c>
      <c r="E20" s="20" t="n">
        <f aca="false">E12*Hypothèses!E56</f>
        <v>0.0970114079390625</v>
      </c>
      <c r="F20" s="20" t="n">
        <f aca="false">F12*Hypothèses!F56</f>
        <v>0.10447048721693</v>
      </c>
    </row>
    <row r="21" customFormat="false" ht="15" hidden="false" customHeight="false" outlineLevel="0" collapsed="false">
      <c r="A21" s="17" t="s">
        <v>205</v>
      </c>
      <c r="B21" s="19" t="n">
        <f aca="false">SUM(B16:B20)</f>
        <v>1.8072231</v>
      </c>
      <c r="C21" s="19" t="n">
        <f aca="false">SUM(C16:C20)</f>
        <v>1.93237567</v>
      </c>
      <c r="D21" s="19" t="n">
        <f aca="false">SUM(D16:D20)</f>
        <v>1.9840315875625</v>
      </c>
      <c r="E21" s="19" t="n">
        <f aca="false">SUM(E16:E20)</f>
        <v>2.42959681660719</v>
      </c>
      <c r="F21" s="19" t="n">
        <f aca="false">SUM(F16:F20)</f>
        <v>2.48407602938033</v>
      </c>
    </row>
    <row r="22" customFormat="false" ht="15" hidden="false" customHeight="false" outlineLevel="0" collapsed="false">
      <c r="A22" s="17" t="s">
        <v>206</v>
      </c>
      <c r="B22" s="21" t="n">
        <f aca="false">IFERROR(B21/B13,0)</f>
        <v>0.059</v>
      </c>
      <c r="C22" s="21" t="n">
        <f aca="false">IFERROR(C21/C13,0)</f>
        <v>0.059</v>
      </c>
      <c r="D22" s="21" t="n">
        <f aca="false">IFERROR(D21/D13,0)</f>
        <v>0.05635</v>
      </c>
      <c r="E22" s="21" t="n">
        <f aca="false">IFERROR(E21/E13,0)</f>
        <v>0.05635</v>
      </c>
      <c r="F22" s="21" t="n">
        <f aca="false">IFERROR(F21/F13,0)</f>
        <v>0.0535</v>
      </c>
    </row>
    <row r="24" customFormat="false" ht="21.75" hidden="false" customHeight="true" outlineLevel="0" collapsed="false">
      <c r="A24" s="4" t="s">
        <v>207</v>
      </c>
      <c r="B24" s="4"/>
      <c r="C24" s="4"/>
      <c r="D24" s="4"/>
      <c r="E24" s="4"/>
      <c r="F24" s="4"/>
      <c r="G24" s="4"/>
      <c r="H24" s="4"/>
    </row>
    <row r="25" customFormat="false" ht="15" hidden="false" customHeight="false" outlineLevel="0" collapsed="false">
      <c r="A25" s="10" t="s">
        <v>208</v>
      </c>
      <c r="B25" s="20" t="n">
        <f aca="false">B8+B9</f>
        <v>19.910085</v>
      </c>
      <c r="C25" s="20" t="n">
        <f aca="false">C8+C9</f>
        <v>21.2888845</v>
      </c>
      <c r="D25" s="20" t="n">
        <f aca="false">D8+D9</f>
        <v>22.8859011875</v>
      </c>
      <c r="E25" s="20" t="n">
        <f aca="false">E8+E9</f>
        <v>28.0255178490625</v>
      </c>
      <c r="F25" s="20" t="n">
        <f aca="false">F8+F9</f>
        <v>30.1803629737797</v>
      </c>
    </row>
    <row r="26" customFormat="false" ht="15" hidden="false" customHeight="false" outlineLevel="0" collapsed="false">
      <c r="A26" s="17" t="s">
        <v>209</v>
      </c>
      <c r="B26" s="22" t="n">
        <f aca="false">IFERROR(B25/'Provisions techniques'!B16,0)</f>
        <v>0.776800073348966</v>
      </c>
      <c r="C26" s="22" t="n">
        <f aca="false">IFERROR(C25/'Provisions techniques'!C16,0)</f>
        <v>0.767108128277001</v>
      </c>
      <c r="D26" s="22" t="n">
        <f aca="false">IFERROR(D25/'Provisions techniques'!D16,0)</f>
        <v>0.757583552179657</v>
      </c>
      <c r="E26" s="22" t="n">
        <f aca="false">IFERROR(E25/'Provisions techniques'!E16,0)</f>
        <v>0.846278669327531</v>
      </c>
      <c r="F26" s="22" t="n">
        <f aca="false">IFERROR(F25/'Provisions techniques'!F16,0)</f>
        <v>0.828417873268166</v>
      </c>
    </row>
  </sheetData>
  <mergeCells count="5">
    <mergeCell ref="A1:H1"/>
    <mergeCell ref="A4:H4"/>
    <mergeCell ref="A7:H7"/>
    <mergeCell ref="A15:H15"/>
    <mergeCell ref="A24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6" min="2" style="0" width="14"/>
    <col collapsed="false" customWidth="true" hidden="false" outlineLevel="0" max="7" min="7" style="0" width="4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1" t="s">
        <v>210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8"/>
      <c r="B3" s="9" t="s">
        <v>51</v>
      </c>
      <c r="C3" s="9" t="s">
        <v>52</v>
      </c>
      <c r="D3" s="9" t="s">
        <v>53</v>
      </c>
      <c r="E3" s="9" t="s">
        <v>54</v>
      </c>
      <c r="F3" s="9" t="s">
        <v>55</v>
      </c>
    </row>
    <row r="4" customFormat="false" ht="21.75" hidden="false" customHeight="true" outlineLevel="0" collapsed="false">
      <c r="A4" s="4" t="s">
        <v>211</v>
      </c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10" t="s">
        <v>212</v>
      </c>
      <c r="B5" s="16" t="n">
        <f aca="false">Primes!B22</f>
        <v>4.05</v>
      </c>
      <c r="C5" s="16" t="n">
        <f aca="false">Primes!C22</f>
        <v>5.13</v>
      </c>
      <c r="D5" s="16" t="n">
        <f aca="false">Primes!D22</f>
        <v>6.48</v>
      </c>
      <c r="E5" s="16" t="n">
        <f aca="false">Primes!E22</f>
        <v>8.127</v>
      </c>
      <c r="F5" s="16" t="n">
        <f aca="false">Primes!F22</f>
        <v>10.098</v>
      </c>
    </row>
    <row r="6" customFormat="false" ht="15" hidden="false" customHeight="false" outlineLevel="0" collapsed="false">
      <c r="A6" s="10" t="s">
        <v>213</v>
      </c>
      <c r="B6" s="20" t="n">
        <f aca="false">Placements!B21*0.7</f>
        <v>1.26505617</v>
      </c>
      <c r="C6" s="20" t="n">
        <f aca="false">Placements!C21*0.7</f>
        <v>1.352662969</v>
      </c>
      <c r="D6" s="20" t="n">
        <f aca="false">Placements!D21*0.7</f>
        <v>1.38882211129375</v>
      </c>
      <c r="E6" s="20" t="n">
        <f aca="false">Placements!E21*0.7</f>
        <v>1.70071777162503</v>
      </c>
      <c r="F6" s="20" t="n">
        <f aca="false">Placements!F21*0.7</f>
        <v>1.73885322056623</v>
      </c>
    </row>
    <row r="7" customFormat="false" ht="15" hidden="false" customHeight="false" outlineLevel="0" collapsed="false">
      <c r="A7" s="10" t="s">
        <v>214</v>
      </c>
      <c r="B7" s="16" t="n">
        <f aca="false">-Sinistres!B11</f>
        <v>-2.7</v>
      </c>
      <c r="C7" s="16" t="n">
        <f aca="false">-Sinistres!C11</f>
        <v>-3.42</v>
      </c>
      <c r="D7" s="16" t="n">
        <f aca="false">-Sinistres!D11</f>
        <v>-4.32</v>
      </c>
      <c r="E7" s="16" t="n">
        <f aca="false">-Sinistres!E11</f>
        <v>-5.418</v>
      </c>
      <c r="F7" s="16" t="n">
        <f aca="false">-Sinistres!F11</f>
        <v>-6.732</v>
      </c>
    </row>
    <row r="8" customFormat="false" ht="15" hidden="false" customHeight="false" outlineLevel="0" collapsed="false">
      <c r="A8" s="10" t="s">
        <v>215</v>
      </c>
      <c r="B8" s="16" t="n">
        <f aca="false">-'Provisions techniques'!B7</f>
        <v>-1.15</v>
      </c>
      <c r="C8" s="16" t="n">
        <f aca="false">-'Provisions techniques'!C7</f>
        <v>-1.31025</v>
      </c>
      <c r="D8" s="16" t="n">
        <f aca="false">-'Provisions techniques'!D7</f>
        <v>-1.50610875</v>
      </c>
      <c r="E8" s="16" t="n">
        <f aca="false">-'Provisions techniques'!E7</f>
        <v>-1.74182255625</v>
      </c>
      <c r="F8" s="16" t="n">
        <f aca="false">-'Provisions techniques'!F7</f>
        <v>-2.02178634571875</v>
      </c>
    </row>
    <row r="9" customFormat="false" ht="15" hidden="false" customHeight="false" outlineLevel="0" collapsed="false">
      <c r="A9" s="10" t="s">
        <v>216</v>
      </c>
      <c r="B9" s="20" t="n">
        <f aca="false">-Primes!B5*Hypothèses!B36</f>
        <v>-0.81</v>
      </c>
      <c r="C9" s="20" t="n">
        <f aca="false">-Primes!C5*Hypothèses!C36</f>
        <v>-0.969</v>
      </c>
      <c r="D9" s="20" t="n">
        <f aca="false">-Primes!D5*Hypothèses!D36</f>
        <v>-1.152</v>
      </c>
      <c r="E9" s="20" t="n">
        <f aca="false">-Primes!E5*Hypothèses!E36</f>
        <v>-1.3545</v>
      </c>
      <c r="F9" s="20" t="n">
        <f aca="false">-Primes!F5*Hypothèses!F36</f>
        <v>-1.5708</v>
      </c>
    </row>
    <row r="10" customFormat="false" ht="15" hidden="false" customHeight="false" outlineLevel="0" collapsed="false">
      <c r="A10" s="10" t="s">
        <v>217</v>
      </c>
      <c r="B10" s="20" t="n">
        <f aca="false">-Primes!B5*Hypothèses!B38</f>
        <v>-0.36</v>
      </c>
      <c r="C10" s="20" t="n">
        <f aca="false">-Primes!C5*Hypothèses!C38</f>
        <v>-0.456</v>
      </c>
      <c r="D10" s="20" t="n">
        <f aca="false">-Primes!D5*Hypothèses!D38</f>
        <v>-0.54</v>
      </c>
      <c r="E10" s="20" t="n">
        <f aca="false">-Primes!E5*Hypothèses!E38</f>
        <v>-0.6321</v>
      </c>
      <c r="F10" s="20" t="n">
        <f aca="false">-Primes!F5*Hypothèses!F38</f>
        <v>-0.7854</v>
      </c>
    </row>
    <row r="11" customFormat="false" ht="15" hidden="false" customHeight="false" outlineLevel="0" collapsed="false">
      <c r="A11" s="17" t="s">
        <v>218</v>
      </c>
      <c r="B11" s="18" t="n">
        <f aca="false">B5+B6+B7+B8+B9+B10</f>
        <v>0.295056170000002</v>
      </c>
      <c r="C11" s="18" t="n">
        <f aca="false">C5+C6+C7+C8+C9+C10</f>
        <v>0.327412969000003</v>
      </c>
      <c r="D11" s="18" t="n">
        <f aca="false">D5+D6+D7+D8+D9+D10</f>
        <v>0.350713361293754</v>
      </c>
      <c r="E11" s="18" t="n">
        <f aca="false">E5+E6+E7+E8+E9+E10</f>
        <v>0.681295215375033</v>
      </c>
      <c r="F11" s="18" t="n">
        <f aca="false">F5+F6+F7+F8+F9+F10</f>
        <v>0.726866874847481</v>
      </c>
    </row>
    <row r="13" customFormat="false" ht="21.75" hidden="false" customHeight="true" outlineLevel="0" collapsed="false">
      <c r="A13" s="4" t="s">
        <v>219</v>
      </c>
      <c r="B13" s="4"/>
      <c r="C13" s="4"/>
      <c r="D13" s="4"/>
      <c r="E13" s="4"/>
      <c r="F13" s="4"/>
      <c r="G13" s="4"/>
      <c r="H13" s="4"/>
    </row>
    <row r="14" customFormat="false" ht="15" hidden="false" customHeight="false" outlineLevel="0" collapsed="false">
      <c r="A14" s="10" t="s">
        <v>220</v>
      </c>
      <c r="B14" s="16" t="n">
        <f aca="false">Primes!B23</f>
        <v>8.643</v>
      </c>
      <c r="C14" s="16" t="n">
        <f aca="false">Primes!C23</f>
        <v>10.3917</v>
      </c>
      <c r="D14" s="16" t="n">
        <f aca="false">Primes!D23</f>
        <v>12.4084</v>
      </c>
      <c r="E14" s="16" t="n">
        <f aca="false">Primes!E23</f>
        <v>14.9008</v>
      </c>
      <c r="F14" s="16" t="n">
        <f aca="false">Primes!F23</f>
        <v>17.7215</v>
      </c>
    </row>
    <row r="15" customFormat="false" ht="15" hidden="false" customHeight="false" outlineLevel="0" collapsed="false">
      <c r="A15" s="10" t="s">
        <v>221</v>
      </c>
      <c r="B15" s="20" t="n">
        <f aca="false">Placements!B21*0.3</f>
        <v>0.54216693</v>
      </c>
      <c r="C15" s="20" t="n">
        <f aca="false">Placements!C21*0.3</f>
        <v>0.579712701</v>
      </c>
      <c r="D15" s="20" t="n">
        <f aca="false">Placements!D21*0.3</f>
        <v>0.59520947626875</v>
      </c>
      <c r="E15" s="20" t="n">
        <f aca="false">Placements!E21*0.3</f>
        <v>0.728879044982156</v>
      </c>
      <c r="F15" s="20" t="n">
        <f aca="false">Placements!F21*0.3</f>
        <v>0.745222808814098</v>
      </c>
    </row>
    <row r="16" customFormat="false" ht="15" hidden="false" customHeight="false" outlineLevel="0" collapsed="false">
      <c r="A16" s="10" t="s">
        <v>222</v>
      </c>
      <c r="B16" s="16" t="n">
        <f aca="false">-Sinistres!B17</f>
        <v>-9.51244</v>
      </c>
      <c r="C16" s="16" t="n">
        <f aca="false">-Sinistres!C17</f>
        <v>-11.169312</v>
      </c>
      <c r="D16" s="16" t="n">
        <f aca="false">-Sinistres!D17</f>
        <v>-13.123712</v>
      </c>
      <c r="E16" s="16" t="n">
        <f aca="false">-Sinistres!E17</f>
        <v>-15.511552</v>
      </c>
      <c r="F16" s="16" t="n">
        <f aca="false">-Sinistres!F17</f>
        <v>-18.142768</v>
      </c>
    </row>
    <row r="17" customFormat="false" ht="15" hidden="false" customHeight="false" outlineLevel="0" collapsed="false">
      <c r="A17" s="10" t="s">
        <v>223</v>
      </c>
      <c r="B17" s="16" t="n">
        <f aca="false">Primes!B19</f>
        <v>0.91875</v>
      </c>
      <c r="C17" s="16" t="n">
        <f aca="false">Primes!C19</f>
        <v>1.111875</v>
      </c>
      <c r="D17" s="16" t="n">
        <f aca="false">Primes!D19</f>
        <v>1.3375</v>
      </c>
      <c r="E17" s="16" t="n">
        <f aca="false">Primes!E19</f>
        <v>1.61575</v>
      </c>
      <c r="F17" s="16" t="n">
        <f aca="false">Primes!F19</f>
        <v>1.933625</v>
      </c>
    </row>
    <row r="18" customFormat="false" ht="15" hidden="false" customHeight="false" outlineLevel="0" collapsed="false">
      <c r="A18" s="10" t="s">
        <v>224</v>
      </c>
      <c r="B18" s="20" t="n">
        <f aca="false">-Primes!B6*Hypothèses!B37</f>
        <v>-2.58</v>
      </c>
      <c r="C18" s="20" t="n">
        <f aca="false">-Primes!C6*Hypothèses!C37</f>
        <v>-2.9469</v>
      </c>
      <c r="D18" s="20" t="n">
        <f aca="false">-Primes!D6*Hypothèses!D37</f>
        <v>-3.3336</v>
      </c>
      <c r="E18" s="20" t="n">
        <f aca="false">-Primes!E6*Hypothèses!E37</f>
        <v>-4.0032</v>
      </c>
      <c r="F18" s="20" t="n">
        <f aca="false">-Primes!F6*Hypothèses!F37</f>
        <v>-4.4965</v>
      </c>
    </row>
    <row r="19" customFormat="false" ht="15" hidden="false" customHeight="false" outlineLevel="0" collapsed="false">
      <c r="A19" s="10" t="s">
        <v>225</v>
      </c>
      <c r="B19" s="20" t="n">
        <f aca="false">-Primes!B6*Hypothèses!B38</f>
        <v>-1.032</v>
      </c>
      <c r="C19" s="20" t="n">
        <f aca="false">-Primes!C6*Hypothèses!C38</f>
        <v>-1.2408</v>
      </c>
      <c r="D19" s="20" t="n">
        <f aca="false">-Primes!D6*Hypothèses!D38</f>
        <v>-1.389</v>
      </c>
      <c r="E19" s="20" t="n">
        <f aca="false">-Primes!E6*Hypothèses!E38</f>
        <v>-1.5568</v>
      </c>
      <c r="F19" s="20" t="n">
        <f aca="false">-Primes!F6*Hypothèses!F38</f>
        <v>-1.8515</v>
      </c>
    </row>
    <row r="20" customFormat="false" ht="15" hidden="false" customHeight="false" outlineLevel="0" collapsed="false">
      <c r="A20" s="10" t="s">
        <v>226</v>
      </c>
      <c r="B20" s="16" t="n">
        <f aca="false">-Sinistres!B20</f>
        <v>-0.5596625</v>
      </c>
      <c r="C20" s="16" t="n">
        <f aca="false">-Sinistres!C20</f>
        <v>-0.66963</v>
      </c>
      <c r="D20" s="16" t="n">
        <f aca="false">-Sinistres!D20</f>
        <v>-0.80188</v>
      </c>
      <c r="E20" s="16" t="n">
        <f aca="false">-Sinistres!E20</f>
        <v>-0.96338</v>
      </c>
      <c r="F20" s="16" t="n">
        <f aca="false">-Sinistres!F20</f>
        <v>-1.146545</v>
      </c>
    </row>
    <row r="21" customFormat="false" ht="15" hidden="false" customHeight="false" outlineLevel="0" collapsed="false">
      <c r="A21" s="17" t="s">
        <v>227</v>
      </c>
      <c r="B21" s="18" t="n">
        <f aca="false">B14+B15+B16+B17+B18+B19+B20</f>
        <v>-3.58018557</v>
      </c>
      <c r="C21" s="18" t="n">
        <f aca="false">C14+C15+C16+C17+C18+C19+C20</f>
        <v>-3.943354299</v>
      </c>
      <c r="D21" s="18" t="n">
        <f aca="false">D14+D15+D16+D17+D18+D19+D20</f>
        <v>-4.30708252373125</v>
      </c>
      <c r="E21" s="18" t="n">
        <f aca="false">E14+E15+E16+E17+E18+E19+E20</f>
        <v>-4.78950295501784</v>
      </c>
      <c r="F21" s="18" t="n">
        <f aca="false">F14+F15+F16+F17+F18+F19+F20</f>
        <v>-5.2369651911859</v>
      </c>
    </row>
    <row r="23" customFormat="false" ht="21.75" hidden="false" customHeight="true" outlineLevel="0" collapsed="false">
      <c r="A23" s="4" t="s">
        <v>228</v>
      </c>
      <c r="B23" s="4"/>
      <c r="C23" s="4"/>
      <c r="D23" s="4"/>
      <c r="E23" s="4"/>
      <c r="F23" s="4"/>
      <c r="G23" s="4"/>
      <c r="H23" s="4"/>
    </row>
    <row r="24" customFormat="false" ht="15" hidden="false" customHeight="false" outlineLevel="0" collapsed="false">
      <c r="A24" s="17" t="s">
        <v>229</v>
      </c>
      <c r="B24" s="19" t="n">
        <f aca="false">B11+B21</f>
        <v>-3.2851294</v>
      </c>
      <c r="C24" s="19" t="n">
        <f aca="false">C11+C21</f>
        <v>-3.61594133</v>
      </c>
      <c r="D24" s="19" t="n">
        <f aca="false">D11+D21</f>
        <v>-3.9563691624375</v>
      </c>
      <c r="E24" s="19" t="n">
        <f aca="false">E11+E21</f>
        <v>-4.10820773964281</v>
      </c>
      <c r="F24" s="19" t="n">
        <f aca="false">F11+F21</f>
        <v>-4.51009831633842</v>
      </c>
    </row>
  </sheetData>
  <mergeCells count="4">
    <mergeCell ref="A1:H1"/>
    <mergeCell ref="A4:H4"/>
    <mergeCell ref="A13:H13"/>
    <mergeCell ref="A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6" min="2" style="0" width="14"/>
    <col collapsed="false" customWidth="true" hidden="false" outlineLevel="0" max="7" min="7" style="0" width="4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1" t="s">
        <v>230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8"/>
      <c r="B3" s="9" t="s">
        <v>51</v>
      </c>
      <c r="C3" s="9" t="s">
        <v>52</v>
      </c>
      <c r="D3" s="9" t="s">
        <v>53</v>
      </c>
      <c r="E3" s="9" t="s">
        <v>54</v>
      </c>
      <c r="F3" s="9" t="s">
        <v>55</v>
      </c>
    </row>
    <row r="4" customFormat="false" ht="21.75" hidden="false" customHeight="true" outlineLevel="0" collapsed="false">
      <c r="A4" s="4" t="s">
        <v>231</v>
      </c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17" t="s">
        <v>232</v>
      </c>
      <c r="B5" s="16" t="n">
        <f aca="false">'P_L technique'!B24</f>
        <v>-3.2851294</v>
      </c>
      <c r="C5" s="16" t="n">
        <f aca="false">'P_L technique'!C24</f>
        <v>-3.61594133</v>
      </c>
      <c r="D5" s="16" t="n">
        <f aca="false">'P_L technique'!D24</f>
        <v>-3.9563691624375</v>
      </c>
      <c r="E5" s="16" t="n">
        <f aca="false">'P_L technique'!E24</f>
        <v>-4.10820773964281</v>
      </c>
      <c r="F5" s="16" t="n">
        <f aca="false">'P_L technique'!F24</f>
        <v>-4.51009831633842</v>
      </c>
    </row>
    <row r="7" customFormat="false" ht="21.75" hidden="false" customHeight="true" outlineLevel="0" collapsed="false">
      <c r="A7" s="4" t="s">
        <v>233</v>
      </c>
      <c r="B7" s="4"/>
      <c r="C7" s="4"/>
      <c r="D7" s="4"/>
      <c r="E7" s="4"/>
      <c r="F7" s="4"/>
      <c r="G7" s="4"/>
      <c r="H7" s="4"/>
    </row>
    <row r="8" customFormat="false" ht="15" hidden="false" customHeight="false" outlineLevel="0" collapsed="false">
      <c r="A8" s="10" t="s">
        <v>234</v>
      </c>
      <c r="B8" s="13" t="n">
        <v>-2.5</v>
      </c>
      <c r="C8" s="13" t="n">
        <v>-2.7</v>
      </c>
      <c r="D8" s="13" t="n">
        <v>-2.9</v>
      </c>
      <c r="E8" s="13" t="n">
        <v>-3.1</v>
      </c>
      <c r="F8" s="13" t="n">
        <v>-3.3</v>
      </c>
    </row>
    <row r="9" customFormat="false" ht="15" hidden="false" customHeight="false" outlineLevel="0" collapsed="false">
      <c r="A9" s="10" t="s">
        <v>235</v>
      </c>
      <c r="B9" s="13" t="n">
        <v>-0.3</v>
      </c>
      <c r="C9" s="13" t="n">
        <v>-0.3</v>
      </c>
      <c r="D9" s="13" t="n">
        <v>-0.3</v>
      </c>
      <c r="E9" s="13" t="n">
        <v>-0.3</v>
      </c>
      <c r="F9" s="13" t="n">
        <v>-0.3</v>
      </c>
    </row>
    <row r="10" customFormat="false" ht="15" hidden="false" customHeight="false" outlineLevel="0" collapsed="false">
      <c r="A10" s="17" t="s">
        <v>236</v>
      </c>
      <c r="B10" s="18" t="n">
        <f aca="false">B8+B9</f>
        <v>-2.8</v>
      </c>
      <c r="C10" s="18" t="n">
        <f aca="false">C8+C9</f>
        <v>-3</v>
      </c>
      <c r="D10" s="18" t="n">
        <f aca="false">D8+D9</f>
        <v>-3.2</v>
      </c>
      <c r="E10" s="18" t="n">
        <f aca="false">E8+E9</f>
        <v>-3.4</v>
      </c>
      <c r="F10" s="18" t="n">
        <f aca="false">F8+F9</f>
        <v>-3.6</v>
      </c>
    </row>
    <row r="12" customFormat="false" ht="21.75" hidden="false" customHeight="true" outlineLevel="0" collapsed="false">
      <c r="A12" s="4" t="s">
        <v>237</v>
      </c>
      <c r="B12" s="4"/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A13" s="17" t="s">
        <v>238</v>
      </c>
      <c r="B13" s="18" t="n">
        <f aca="false">B5+B10</f>
        <v>-6.0851294</v>
      </c>
      <c r="C13" s="18" t="n">
        <f aca="false">C5+C10</f>
        <v>-6.61594133</v>
      </c>
      <c r="D13" s="18" t="n">
        <f aca="false">D5+D10</f>
        <v>-7.1563691624375</v>
      </c>
      <c r="E13" s="18" t="n">
        <f aca="false">E5+E10</f>
        <v>-7.50820773964281</v>
      </c>
      <c r="F13" s="18" t="n">
        <f aca="false">F5+F10</f>
        <v>-8.11009831633842</v>
      </c>
    </row>
    <row r="14" customFormat="false" ht="15" hidden="false" customHeight="false" outlineLevel="0" collapsed="false">
      <c r="A14" s="10" t="s">
        <v>239</v>
      </c>
      <c r="B14" s="20" t="n">
        <f aca="false">-MAX(B13,0)*Hypothèses!B6</f>
        <v>-0</v>
      </c>
      <c r="C14" s="20" t="n">
        <f aca="false">-MAX(C13,0)*Hypothèses!C6</f>
        <v>-0</v>
      </c>
      <c r="D14" s="20" t="n">
        <f aca="false">-MAX(D13,0)*Hypothèses!D6</f>
        <v>-0</v>
      </c>
      <c r="E14" s="20" t="n">
        <f aca="false">-MAX(E13,0)*Hypothèses!E6</f>
        <v>-0</v>
      </c>
      <c r="F14" s="20" t="n">
        <f aca="false">-MAX(F13,0)*Hypothèses!F6</f>
        <v>-0</v>
      </c>
    </row>
    <row r="15" customFormat="false" ht="15" hidden="false" customHeight="false" outlineLevel="0" collapsed="false">
      <c r="A15" s="17" t="s">
        <v>237</v>
      </c>
      <c r="B15" s="19" t="n">
        <f aca="false">B13+B14</f>
        <v>-6.0851294</v>
      </c>
      <c r="C15" s="19" t="n">
        <f aca="false">C13+C14</f>
        <v>-6.61594133</v>
      </c>
      <c r="D15" s="19" t="n">
        <f aca="false">D13+D14</f>
        <v>-7.1563691624375</v>
      </c>
      <c r="E15" s="19" t="n">
        <f aca="false">E13+E14</f>
        <v>-7.50820773964281</v>
      </c>
      <c r="F15" s="19" t="n">
        <f aca="false">F13+F14</f>
        <v>-8.11009831633842</v>
      </c>
    </row>
  </sheetData>
  <mergeCells count="4">
    <mergeCell ref="A1:H1"/>
    <mergeCell ref="A4:H4"/>
    <mergeCell ref="A7:H7"/>
    <mergeCell ref="A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6" min="2" style="0" width="14"/>
    <col collapsed="false" customWidth="true" hidden="false" outlineLevel="0" max="7" min="7" style="0" width="4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1" t="s">
        <v>240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8"/>
      <c r="B3" s="9" t="s">
        <v>51</v>
      </c>
      <c r="C3" s="9" t="s">
        <v>52</v>
      </c>
      <c r="D3" s="9" t="s">
        <v>53</v>
      </c>
      <c r="E3" s="9" t="s">
        <v>54</v>
      </c>
      <c r="F3" s="9" t="s">
        <v>55</v>
      </c>
    </row>
    <row r="4" customFormat="false" ht="21.75" hidden="false" customHeight="true" outlineLevel="0" collapsed="false">
      <c r="A4" s="4" t="s">
        <v>241</v>
      </c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10" t="s">
        <v>242</v>
      </c>
      <c r="B5" s="16" t="n">
        <f aca="false">Placements!B13</f>
        <v>30.6309</v>
      </c>
      <c r="C5" s="16" t="n">
        <f aca="false">Placements!C13</f>
        <v>32.75213</v>
      </c>
      <c r="D5" s="16" t="n">
        <f aca="false">Placements!D13</f>
        <v>35.20907875</v>
      </c>
      <c r="E5" s="16" t="n">
        <f aca="false">Placements!E13</f>
        <v>43.11618130625</v>
      </c>
      <c r="F5" s="16" t="n">
        <f aca="false">Placements!F13</f>
        <v>46.4313276519687</v>
      </c>
    </row>
    <row r="6" customFormat="false" ht="15" hidden="false" customHeight="false" outlineLevel="0" collapsed="false">
      <c r="A6" s="10" t="s">
        <v>243</v>
      </c>
      <c r="B6" s="20" t="n">
        <f aca="false">Primes!B7*0.15</f>
        <v>2.61</v>
      </c>
      <c r="C6" s="20" t="n">
        <f aca="false">Primes!C7*0.15</f>
        <v>3.1815</v>
      </c>
      <c r="D6" s="20" t="n">
        <f aca="false">Primes!D7*0.15</f>
        <v>3.858</v>
      </c>
      <c r="E6" s="20" t="n">
        <f aca="false">Primes!E7*0.15</f>
        <v>4.6905</v>
      </c>
      <c r="F6" s="20" t="n">
        <f aca="false">Primes!F7*0.15</f>
        <v>5.6505</v>
      </c>
    </row>
    <row r="7" customFormat="false" ht="15" hidden="false" customHeight="false" outlineLevel="0" collapsed="false">
      <c r="A7" s="10" t="s">
        <v>244</v>
      </c>
      <c r="B7" s="20" t="n">
        <f aca="false">Primes!B18*0.2</f>
        <v>0.735</v>
      </c>
      <c r="C7" s="20" t="n">
        <f aca="false">Primes!C18*0.2</f>
        <v>0.8895</v>
      </c>
      <c r="D7" s="20" t="n">
        <f aca="false">Primes!D18*0.2</f>
        <v>1.07</v>
      </c>
      <c r="E7" s="20" t="n">
        <f aca="false">Primes!E18*0.2</f>
        <v>1.2926</v>
      </c>
      <c r="F7" s="20" t="n">
        <f aca="false">Primes!F18*0.2</f>
        <v>1.5469</v>
      </c>
    </row>
    <row r="8" customFormat="false" ht="15" hidden="false" customHeight="false" outlineLevel="0" collapsed="false">
      <c r="A8" s="10" t="s">
        <v>245</v>
      </c>
      <c r="B8" s="13" t="n">
        <v>3</v>
      </c>
      <c r="C8" s="13" t="n">
        <v>3.5</v>
      </c>
      <c r="D8" s="13" t="n">
        <v>4</v>
      </c>
      <c r="E8" s="13" t="n">
        <v>4.5</v>
      </c>
      <c r="F8" s="13" t="n">
        <v>5</v>
      </c>
    </row>
    <row r="9" customFormat="false" ht="15" hidden="false" customHeight="false" outlineLevel="0" collapsed="false">
      <c r="A9" s="10" t="s">
        <v>246</v>
      </c>
      <c r="B9" s="13" t="n">
        <v>2</v>
      </c>
      <c r="C9" s="13" t="n">
        <v>2.5</v>
      </c>
      <c r="D9" s="13" t="n">
        <v>3</v>
      </c>
      <c r="E9" s="13" t="n">
        <v>3.5</v>
      </c>
      <c r="F9" s="13" t="n">
        <v>4</v>
      </c>
    </row>
    <row r="10" customFormat="false" ht="15" hidden="false" customHeight="false" outlineLevel="0" collapsed="false">
      <c r="A10" s="17" t="s">
        <v>247</v>
      </c>
      <c r="B10" s="19" t="n">
        <f aca="false">B5+B6+B7+B8+B9</f>
        <v>38.9759</v>
      </c>
      <c r="C10" s="19" t="n">
        <f aca="false">C5+C6+C7+C8+C9</f>
        <v>42.82313</v>
      </c>
      <c r="D10" s="19" t="n">
        <f aca="false">D5+D6+D7+D8+D9</f>
        <v>47.13707875</v>
      </c>
      <c r="E10" s="19" t="n">
        <f aca="false">E5+E6+E7+E8+E9</f>
        <v>57.09928130625</v>
      </c>
      <c r="F10" s="19" t="n">
        <f aca="false">F5+F6+F7+F8+F9</f>
        <v>62.6287276519687</v>
      </c>
    </row>
    <row r="12" customFormat="false" ht="21.75" hidden="false" customHeight="true" outlineLevel="0" collapsed="false">
      <c r="A12" s="4" t="s">
        <v>248</v>
      </c>
      <c r="B12" s="4"/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A13" s="10" t="s">
        <v>249</v>
      </c>
      <c r="B13" s="16" t="n">
        <f aca="false">'Provisions techniques'!B16</f>
        <v>25.6309</v>
      </c>
      <c r="C13" s="16" t="n">
        <f aca="false">'Provisions techniques'!C16</f>
        <v>27.75213</v>
      </c>
      <c r="D13" s="16" t="n">
        <f aca="false">'Provisions techniques'!D16</f>
        <v>30.20907875</v>
      </c>
      <c r="E13" s="16" t="n">
        <f aca="false">'Provisions techniques'!E16</f>
        <v>33.11618130625</v>
      </c>
      <c r="F13" s="16" t="n">
        <f aca="false">'Provisions techniques'!F16</f>
        <v>36.4313276519687</v>
      </c>
    </row>
    <row r="14" customFormat="false" ht="15" hidden="false" customHeight="false" outlineLevel="0" collapsed="false">
      <c r="A14" s="10" t="s">
        <v>250</v>
      </c>
      <c r="B14" s="13" t="n">
        <v>1.5</v>
      </c>
      <c r="C14" s="13" t="n">
        <v>1.8</v>
      </c>
      <c r="D14" s="13" t="n">
        <v>2.1</v>
      </c>
      <c r="E14" s="13" t="n">
        <v>2.4</v>
      </c>
      <c r="F14" s="13" t="n">
        <v>2.7</v>
      </c>
    </row>
    <row r="15" customFormat="false" ht="15" hidden="false" customHeight="false" outlineLevel="0" collapsed="false">
      <c r="A15" s="10" t="s">
        <v>251</v>
      </c>
      <c r="B15" s="13" t="n">
        <v>1</v>
      </c>
      <c r="C15" s="13" t="n">
        <v>1.1</v>
      </c>
      <c r="D15" s="13" t="n">
        <v>1.2</v>
      </c>
      <c r="E15" s="13" t="n">
        <v>1.3</v>
      </c>
      <c r="F15" s="13" t="n">
        <v>1.4</v>
      </c>
    </row>
    <row r="16" customFormat="false" ht="15" hidden="false" customHeight="false" outlineLevel="0" collapsed="false">
      <c r="A16" s="10" t="s">
        <v>252</v>
      </c>
      <c r="B16" s="16" t="n">
        <f aca="false">Hypothèses!B59</f>
        <v>5</v>
      </c>
      <c r="C16" s="16" t="n">
        <f aca="false">Hypothèses!C59</f>
        <v>5</v>
      </c>
      <c r="D16" s="16" t="n">
        <f aca="false">Hypothèses!D59</f>
        <v>5</v>
      </c>
      <c r="E16" s="16" t="n">
        <f aca="false">Hypothèses!E59</f>
        <v>10</v>
      </c>
      <c r="F16" s="16" t="n">
        <f aca="false">Hypothèses!F59</f>
        <v>10</v>
      </c>
    </row>
    <row r="17" customFormat="false" ht="15" hidden="false" customHeight="false" outlineLevel="0" collapsed="false">
      <c r="A17" s="10" t="s">
        <v>253</v>
      </c>
      <c r="B17" s="13" t="n">
        <v>2</v>
      </c>
      <c r="C17" s="20" t="n">
        <f aca="false">B17+'P_L global'!B15*(1-Hypothèses!B60)</f>
        <v>-2.25959058</v>
      </c>
      <c r="D17" s="20" t="n">
        <f aca="false">C17+'P_L global'!C15*(1-Hypothèses!C60)</f>
        <v>-6.5599524445</v>
      </c>
      <c r="E17" s="20" t="n">
        <f aca="false">D17+'P_L global'!D15*(1-Hypothèses!D60)</f>
        <v>-10.8537739419625</v>
      </c>
      <c r="F17" s="20" t="n">
        <f aca="false">E17+'P_L global'!E15*(1-Hypothèses!E60)</f>
        <v>-14.983288198766</v>
      </c>
    </row>
    <row r="18" customFormat="false" ht="15" hidden="false" customHeight="false" outlineLevel="0" collapsed="false">
      <c r="A18" s="10" t="s">
        <v>254</v>
      </c>
      <c r="B18" s="16" t="n">
        <f aca="false">'P_L global'!B15</f>
        <v>-6.0851294</v>
      </c>
      <c r="C18" s="16" t="n">
        <f aca="false">'P_L global'!C15</f>
        <v>-6.61594133</v>
      </c>
      <c r="D18" s="16" t="n">
        <f aca="false">'P_L global'!D15</f>
        <v>-7.1563691624375</v>
      </c>
      <c r="E18" s="16" t="n">
        <f aca="false">'P_L global'!E15</f>
        <v>-7.50820773964281</v>
      </c>
      <c r="F18" s="16" t="n">
        <f aca="false">'P_L global'!F15</f>
        <v>-8.11009831633842</v>
      </c>
    </row>
    <row r="19" customFormat="false" ht="15" hidden="false" customHeight="false" outlineLevel="0" collapsed="false">
      <c r="A19" s="17" t="s">
        <v>255</v>
      </c>
      <c r="B19" s="18" t="n">
        <f aca="false">B16+B17+B18</f>
        <v>0.914870600000002</v>
      </c>
      <c r="C19" s="18" t="n">
        <f aca="false">C16+C17+C18</f>
        <v>-3.87553191</v>
      </c>
      <c r="D19" s="18" t="n">
        <f aca="false">D16+D17+D18</f>
        <v>-8.71632160693749</v>
      </c>
      <c r="E19" s="18" t="n">
        <f aca="false">E16+E17+E18</f>
        <v>-8.3619816816053</v>
      </c>
      <c r="F19" s="18" t="n">
        <f aca="false">F16+F17+F18</f>
        <v>-13.0933865151045</v>
      </c>
    </row>
    <row r="20" customFormat="false" ht="15" hidden="false" customHeight="false" outlineLevel="0" collapsed="false">
      <c r="A20" s="17" t="s">
        <v>256</v>
      </c>
      <c r="B20" s="19" t="n">
        <f aca="false">B13+B14+B15+B19</f>
        <v>29.0457706</v>
      </c>
      <c r="C20" s="19" t="n">
        <f aca="false">C13+C14+C15+C19</f>
        <v>26.77659809</v>
      </c>
      <c r="D20" s="19" t="n">
        <f aca="false">D13+D14+D15+D19</f>
        <v>24.7927571430625</v>
      </c>
      <c r="E20" s="19" t="n">
        <f aca="false">E13+E14+E15+E19</f>
        <v>28.4541996246447</v>
      </c>
      <c r="F20" s="19" t="n">
        <f aca="false">F13+F14+F15+F19</f>
        <v>27.4379411368643</v>
      </c>
    </row>
    <row r="22" customFormat="false" ht="21.75" hidden="false" customHeight="true" outlineLevel="0" collapsed="false">
      <c r="A22" s="4" t="s">
        <v>257</v>
      </c>
      <c r="B22" s="4"/>
      <c r="C22" s="4"/>
      <c r="D22" s="4"/>
      <c r="E22" s="4"/>
      <c r="F22" s="4"/>
      <c r="G22" s="4"/>
      <c r="H22" s="4"/>
    </row>
    <row r="23" customFormat="false" ht="15" hidden="false" customHeight="false" outlineLevel="0" collapsed="false">
      <c r="A23" s="17" t="s">
        <v>258</v>
      </c>
      <c r="B23" s="23" t="n">
        <f aca="false">B10-B20</f>
        <v>9.93012940000001</v>
      </c>
      <c r="C23" s="23" t="n">
        <f aca="false">C10-C20</f>
        <v>16.04653191</v>
      </c>
      <c r="D23" s="23" t="n">
        <f aca="false">D10-D20</f>
        <v>22.3443216069375</v>
      </c>
      <c r="E23" s="23" t="n">
        <f aca="false">E10-E20</f>
        <v>28.6450816816053</v>
      </c>
      <c r="F23" s="23" t="n">
        <f aca="false">F10-F20</f>
        <v>35.1907865151045</v>
      </c>
    </row>
  </sheetData>
  <mergeCells count="4">
    <mergeCell ref="A1:H1"/>
    <mergeCell ref="A4:H4"/>
    <mergeCell ref="A12:H12"/>
    <mergeCell ref="A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6" min="2" style="0" width="14"/>
    <col collapsed="false" customWidth="true" hidden="false" outlineLevel="0" max="7" min="7" style="0" width="4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1" t="s">
        <v>259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8"/>
      <c r="B3" s="9" t="s">
        <v>51</v>
      </c>
      <c r="C3" s="9" t="s">
        <v>52</v>
      </c>
      <c r="D3" s="9" t="s">
        <v>53</v>
      </c>
      <c r="E3" s="9" t="s">
        <v>54</v>
      </c>
      <c r="F3" s="9" t="s">
        <v>55</v>
      </c>
    </row>
    <row r="4" customFormat="false" ht="21.75" hidden="false" customHeight="true" outlineLevel="0" collapsed="false">
      <c r="A4" s="4" t="s">
        <v>260</v>
      </c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10" t="s">
        <v>261</v>
      </c>
      <c r="B5" s="20" t="n">
        <f aca="false">MAX(Primes!B6*0.18,Sinistres!B8*0.26)</f>
        <v>2.322</v>
      </c>
      <c r="C5" s="20" t="n">
        <f aca="false">MAX(Primes!C6*0.18,Sinistres!C8*0.26)</f>
        <v>2.7918</v>
      </c>
      <c r="D5" s="20" t="n">
        <f aca="false">MAX(Primes!D6*0.18,Sinistres!D8*0.26)</f>
        <v>3.3336</v>
      </c>
      <c r="E5" s="20" t="n">
        <f aca="false">MAX(Primes!E6*0.18,Sinistres!E8*0.26)</f>
        <v>4.0032</v>
      </c>
      <c r="F5" s="20" t="n">
        <f aca="false">MAX(Primes!F6*0.18,Sinistres!F8*0.26)</f>
        <v>4.761</v>
      </c>
    </row>
    <row r="6" customFormat="false" ht="15" hidden="false" customHeight="false" outlineLevel="0" collapsed="false">
      <c r="A6" s="10" t="s">
        <v>262</v>
      </c>
      <c r="B6" s="20" t="n">
        <f aca="false">'Provisions techniques'!B6*0.04</f>
        <v>0.846</v>
      </c>
      <c r="C6" s="20" t="n">
        <f aca="false">'Provisions techniques'!C6*0.04</f>
        <v>0.89841</v>
      </c>
      <c r="D6" s="20" t="n">
        <f aca="false">'Provisions techniques'!D6*0.04</f>
        <v>0.95865435</v>
      </c>
      <c r="E6" s="20" t="n">
        <f aca="false">'Provisions techniques'!E6*0.04</f>
        <v>1.02832725225</v>
      </c>
      <c r="F6" s="20" t="n">
        <f aca="false">'Provisions techniques'!F6*0.04</f>
        <v>1.10919870607875</v>
      </c>
    </row>
    <row r="7" customFormat="false" ht="15" hidden="false" customHeight="false" outlineLevel="0" collapsed="false">
      <c r="A7" s="17" t="s">
        <v>263</v>
      </c>
      <c r="B7" s="18" t="n">
        <f aca="false">B5+B6</f>
        <v>3.168</v>
      </c>
      <c r="C7" s="18" t="n">
        <f aca="false">C5+C6</f>
        <v>3.69021</v>
      </c>
      <c r="D7" s="18" t="n">
        <f aca="false">D5+D6</f>
        <v>4.29225435</v>
      </c>
      <c r="E7" s="18" t="n">
        <f aca="false">E5+E6</f>
        <v>5.03152725225</v>
      </c>
      <c r="F7" s="18" t="n">
        <f aca="false">F5+F6</f>
        <v>5.87019870607875</v>
      </c>
    </row>
    <row r="9" customFormat="false" ht="21.75" hidden="false" customHeight="true" outlineLevel="0" collapsed="false">
      <c r="A9" s="4" t="s">
        <v>264</v>
      </c>
      <c r="B9" s="4"/>
      <c r="C9" s="4"/>
      <c r="D9" s="4"/>
      <c r="E9" s="4"/>
      <c r="F9" s="4"/>
      <c r="G9" s="4"/>
      <c r="H9" s="4"/>
    </row>
    <row r="10" customFormat="false" ht="15" hidden="false" customHeight="false" outlineLevel="0" collapsed="false">
      <c r="A10" s="10" t="s">
        <v>265</v>
      </c>
      <c r="B10" s="16" t="n">
        <f aca="false">Bilan!B19</f>
        <v>0.914870600000002</v>
      </c>
      <c r="C10" s="16" t="n">
        <f aca="false">Bilan!C19</f>
        <v>-3.87553191</v>
      </c>
      <c r="D10" s="16" t="n">
        <f aca="false">Bilan!D19</f>
        <v>-8.71632160693749</v>
      </c>
      <c r="E10" s="16" t="n">
        <f aca="false">Bilan!E19</f>
        <v>-8.3619816816053</v>
      </c>
      <c r="F10" s="16" t="n">
        <f aca="false">Bilan!F19</f>
        <v>-13.0933865151045</v>
      </c>
    </row>
    <row r="11" customFormat="false" ht="15" hidden="false" customHeight="false" outlineLevel="0" collapsed="false">
      <c r="A11" s="17" t="s">
        <v>266</v>
      </c>
      <c r="B11" s="18" t="n">
        <f aca="false">B10</f>
        <v>0.914870600000002</v>
      </c>
      <c r="C11" s="18" t="n">
        <f aca="false">C10</f>
        <v>-3.87553191</v>
      </c>
      <c r="D11" s="18" t="n">
        <f aca="false">D10</f>
        <v>-8.71632160693749</v>
      </c>
      <c r="E11" s="18" t="n">
        <f aca="false">E10</f>
        <v>-8.3619816816053</v>
      </c>
      <c r="F11" s="18" t="n">
        <f aca="false">F10</f>
        <v>-13.0933865151045</v>
      </c>
    </row>
    <row r="13" customFormat="false" ht="21.75" hidden="false" customHeight="true" outlineLevel="0" collapsed="false">
      <c r="A13" s="4" t="s">
        <v>267</v>
      </c>
      <c r="B13" s="4"/>
      <c r="C13" s="4"/>
      <c r="D13" s="4"/>
      <c r="E13" s="4"/>
      <c r="F13" s="4"/>
      <c r="G13" s="4"/>
      <c r="H13" s="4"/>
    </row>
    <row r="14" customFormat="false" ht="15" hidden="false" customHeight="false" outlineLevel="0" collapsed="false">
      <c r="A14" s="17" t="s">
        <v>268</v>
      </c>
      <c r="B14" s="24" t="n">
        <f aca="false">IFERROR(B11/B7,0)</f>
        <v>0.288784911616162</v>
      </c>
      <c r="C14" s="24" t="n">
        <f aca="false">IFERROR(C11/C7,0)</f>
        <v>-1.05021988179534</v>
      </c>
      <c r="D14" s="24" t="n">
        <f aca="false">IFERROR(D11/D7,0)</f>
        <v>-2.03070948182218</v>
      </c>
      <c r="E14" s="24" t="n">
        <f aca="false">IFERROR(E11/E7,0)</f>
        <v>-1.66191719976593</v>
      </c>
      <c r="F14" s="24" t="n">
        <f aca="false">IFERROR(F11/F7,0)</f>
        <v>-2.23048437892671</v>
      </c>
    </row>
    <row r="15" customFormat="false" ht="15" hidden="false" customHeight="false" outlineLevel="0" collapsed="false">
      <c r="A15" s="10" t="s">
        <v>269</v>
      </c>
      <c r="B15" s="11" t="n">
        <v>1</v>
      </c>
      <c r="C15" s="11" t="n">
        <v>1</v>
      </c>
      <c r="D15" s="11" t="n">
        <v>1</v>
      </c>
      <c r="E15" s="11" t="n">
        <v>1</v>
      </c>
      <c r="F15" s="11" t="n">
        <v>1</v>
      </c>
    </row>
    <row r="16" customFormat="false" ht="15" hidden="false" customHeight="false" outlineLevel="0" collapsed="false">
      <c r="A16" s="17" t="s">
        <v>270</v>
      </c>
      <c r="B16" s="23" t="n">
        <f aca="false">B11-B7</f>
        <v>-2.2531294</v>
      </c>
      <c r="C16" s="23" t="n">
        <f aca="false">C11-C7</f>
        <v>-7.56574190999999</v>
      </c>
      <c r="D16" s="23" t="n">
        <f aca="false">D11-D7</f>
        <v>-13.0085759569375</v>
      </c>
      <c r="E16" s="23" t="n">
        <f aca="false">E11-E7</f>
        <v>-13.3935089338553</v>
      </c>
      <c r="F16" s="23" t="n">
        <f aca="false">F11-F7</f>
        <v>-18.9635852211832</v>
      </c>
    </row>
  </sheetData>
  <mergeCells count="4">
    <mergeCell ref="A1:H1"/>
    <mergeCell ref="A4:H4"/>
    <mergeCell ref="A9:H9"/>
    <mergeCell ref="A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6" min="2" style="0" width="14"/>
    <col collapsed="false" customWidth="true" hidden="false" outlineLevel="0" max="7" min="7" style="0" width="4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1" t="s">
        <v>271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8"/>
      <c r="B3" s="9" t="s">
        <v>51</v>
      </c>
      <c r="C3" s="9" t="s">
        <v>52</v>
      </c>
      <c r="D3" s="9" t="s">
        <v>53</v>
      </c>
      <c r="E3" s="9" t="s">
        <v>54</v>
      </c>
      <c r="F3" s="9" t="s">
        <v>55</v>
      </c>
    </row>
    <row r="4" customFormat="false" ht="21.75" hidden="false" customHeight="true" outlineLevel="0" collapsed="false">
      <c r="A4" s="4" t="s">
        <v>272</v>
      </c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17" t="s">
        <v>273</v>
      </c>
      <c r="B5" s="16" t="n">
        <f aca="false">Primes!B7</f>
        <v>17.4</v>
      </c>
      <c r="C5" s="16" t="n">
        <f aca="false">Primes!C7</f>
        <v>21.21</v>
      </c>
      <c r="D5" s="16" t="n">
        <f aca="false">Primes!D7</f>
        <v>25.72</v>
      </c>
      <c r="E5" s="16" t="n">
        <f aca="false">Primes!E7</f>
        <v>31.27</v>
      </c>
      <c r="F5" s="16" t="n">
        <f aca="false">Primes!F7</f>
        <v>37.67</v>
      </c>
    </row>
    <row r="6" customFormat="false" ht="15" hidden="false" customHeight="false" outlineLevel="0" collapsed="false">
      <c r="A6" s="10" t="s">
        <v>274</v>
      </c>
      <c r="B6" s="25" t="s">
        <v>275</v>
      </c>
      <c r="C6" s="26" t="n">
        <f aca="false">IFERROR(Primes!C7/Primes!B7-1,0)</f>
        <v>0.218965517241379</v>
      </c>
      <c r="D6" s="26" t="n">
        <f aca="false">IFERROR(Primes!D7/Primes!C7-1,0)</f>
        <v>0.212635549269213</v>
      </c>
      <c r="E6" s="26" t="n">
        <f aca="false">IFERROR(Primes!E7/Primes!D7-1,0)</f>
        <v>0.215785381026438</v>
      </c>
      <c r="F6" s="26" t="n">
        <f aca="false">IFERROR(Primes!F7/Primes!E7-1,0)</f>
        <v>0.204669011832427</v>
      </c>
    </row>
    <row r="7" customFormat="false" ht="15" hidden="false" customHeight="false" outlineLevel="0" collapsed="false">
      <c r="A7" s="10" t="s">
        <v>276</v>
      </c>
      <c r="B7" s="26" t="n">
        <f aca="false">IFERROR(Primes!B5/Primes!B7,0)</f>
        <v>0.258620689655172</v>
      </c>
      <c r="C7" s="26" t="n">
        <f aca="false">IFERROR(Primes!C5/Primes!C7,0)</f>
        <v>0.268741159830269</v>
      </c>
      <c r="D7" s="26" t="n">
        <f aca="false">IFERROR(Primes!D5/Primes!D7,0)</f>
        <v>0.279937791601866</v>
      </c>
      <c r="E7" s="26" t="n">
        <f aca="false">IFERROR(Primes!E5/Primes!E7,0)</f>
        <v>0.288775183882315</v>
      </c>
      <c r="F7" s="26" t="n">
        <f aca="false">IFERROR(Primes!F5/Primes!F7,0)</f>
        <v>0.297849747809928</v>
      </c>
    </row>
    <row r="9" customFormat="false" ht="21.75" hidden="false" customHeight="true" outlineLevel="0" collapsed="false">
      <c r="A9" s="4" t="s">
        <v>277</v>
      </c>
      <c r="B9" s="4"/>
      <c r="C9" s="4"/>
      <c r="D9" s="4"/>
      <c r="E9" s="4"/>
      <c r="F9" s="4"/>
      <c r="G9" s="4"/>
      <c r="H9" s="4"/>
    </row>
    <row r="10" customFormat="false" ht="15" hidden="false" customHeight="false" outlineLevel="0" collapsed="false">
      <c r="A10" s="17" t="s">
        <v>278</v>
      </c>
      <c r="B10" s="22" t="n">
        <f aca="false">IFERROR(Sinistres!B17/Primes!B11,0)</f>
        <v>0.801520053926525</v>
      </c>
      <c r="C10" s="22" t="n">
        <f aca="false">IFERROR(Sinistres!C17/Primes!C11,0)</f>
        <v>0.782756706753007</v>
      </c>
      <c r="D10" s="22" t="n">
        <f aca="false">IFERROR(Sinistres!D17/Primes!D11,0)</f>
        <v>0.770243215325383</v>
      </c>
      <c r="E10" s="22" t="n">
        <f aca="false">IFERROR(Sinistres!E17/Primes!E11,0)</f>
        <v>0.758110728808258</v>
      </c>
      <c r="F10" s="22" t="n">
        <f aca="false">IFERROR(Sinistres!F17/Primes!F11,0)</f>
        <v>0.745572778827977</v>
      </c>
    </row>
    <row r="11" customFormat="false" ht="15" hidden="false" customHeight="false" outlineLevel="0" collapsed="false">
      <c r="A11" s="17" t="s">
        <v>279</v>
      </c>
      <c r="B11" s="22" t="n">
        <f aca="false">IFERROR((Primes!B6*(Hypothèses!B37+Hypothèses!B38)+Sinistres!B20)/Primes!B11,0)</f>
        <v>0.351505097741827</v>
      </c>
      <c r="C11" s="22" t="n">
        <f aca="false">IFERROR((Primes!C6*(Hypothèses!C37+Hypothèses!C38)+Sinistres!C20)/Primes!C11,0)</f>
        <v>0.340406610041208</v>
      </c>
      <c r="D11" s="22" t="n">
        <f aca="false">IFERROR((Primes!D6*(Hypothèses!D37+Hypothèses!D38)+Sinistres!D20)/Primes!D11,0)</f>
        <v>0.324237017560334</v>
      </c>
      <c r="E11" s="22" t="n">
        <f aca="false">IFERROR((Primes!E6*(Hypothèses!E37+Hypothèses!E38)+Sinistres!E20)/Primes!E11,0)</f>
        <v>0.318823310916484</v>
      </c>
      <c r="F11" s="22" t="n">
        <f aca="false">IFERROR((Primes!F6*(Hypothèses!F37+Hypothèses!F38)+Sinistres!F20)/Primes!F11,0)</f>
        <v>0.307986562012</v>
      </c>
    </row>
    <row r="12" customFormat="false" ht="15" hidden="false" customHeight="false" outlineLevel="0" collapsed="false">
      <c r="A12" s="17" t="s">
        <v>280</v>
      </c>
      <c r="B12" s="24" t="n">
        <f aca="false">B10+B11</f>
        <v>1.15302515166835</v>
      </c>
      <c r="C12" s="24" t="n">
        <f aca="false">C10+C11</f>
        <v>1.12316331679421</v>
      </c>
      <c r="D12" s="24" t="n">
        <f aca="false">D10+D11</f>
        <v>1.09448023288572</v>
      </c>
      <c r="E12" s="24" t="n">
        <f aca="false">E10+E11</f>
        <v>1.07693403972474</v>
      </c>
      <c r="F12" s="24" t="n">
        <f aca="false">F10+F11</f>
        <v>1.05355934083998</v>
      </c>
    </row>
    <row r="14" customFormat="false" ht="21.75" hidden="false" customHeight="true" outlineLevel="0" collapsed="false">
      <c r="A14" s="4" t="s">
        <v>281</v>
      </c>
      <c r="B14" s="4"/>
      <c r="C14" s="4"/>
      <c r="D14" s="4"/>
      <c r="E14" s="4"/>
      <c r="F14" s="4"/>
      <c r="G14" s="4"/>
      <c r="H14" s="4"/>
    </row>
    <row r="15" customFormat="false" ht="15" hidden="false" customHeight="false" outlineLevel="0" collapsed="false">
      <c r="A15" s="10" t="s">
        <v>282</v>
      </c>
      <c r="B15" s="16" t="n">
        <f aca="false">'P_L technique'!B11</f>
        <v>0.295056170000002</v>
      </c>
      <c r="C15" s="16" t="n">
        <f aca="false">'P_L technique'!C11</f>
        <v>0.327412969000003</v>
      </c>
      <c r="D15" s="16" t="n">
        <f aca="false">'P_L technique'!D11</f>
        <v>0.350713361293754</v>
      </c>
      <c r="E15" s="16" t="n">
        <f aca="false">'P_L technique'!E11</f>
        <v>0.681295215375033</v>
      </c>
      <c r="F15" s="16" t="n">
        <f aca="false">'P_L technique'!F11</f>
        <v>0.726866874847481</v>
      </c>
    </row>
    <row r="16" customFormat="false" ht="15" hidden="false" customHeight="false" outlineLevel="0" collapsed="false">
      <c r="A16" s="10" t="s">
        <v>283</v>
      </c>
      <c r="B16" s="16" t="n">
        <f aca="false">'P_L technique'!B21</f>
        <v>-3.58018557</v>
      </c>
      <c r="C16" s="16" t="n">
        <f aca="false">'P_L technique'!C21</f>
        <v>-3.943354299</v>
      </c>
      <c r="D16" s="16" t="n">
        <f aca="false">'P_L technique'!D21</f>
        <v>-4.30708252373125</v>
      </c>
      <c r="E16" s="16" t="n">
        <f aca="false">'P_L technique'!E21</f>
        <v>-4.78950295501784</v>
      </c>
      <c r="F16" s="16" t="n">
        <f aca="false">'P_L technique'!F21</f>
        <v>-5.2369651911859</v>
      </c>
    </row>
    <row r="17" customFormat="false" ht="15" hidden="false" customHeight="false" outlineLevel="0" collapsed="false">
      <c r="A17" s="17" t="s">
        <v>284</v>
      </c>
      <c r="B17" s="16" t="n">
        <f aca="false">'P_L global'!B15</f>
        <v>-6.0851294</v>
      </c>
      <c r="C17" s="16" t="n">
        <f aca="false">'P_L global'!C15</f>
        <v>-6.61594133</v>
      </c>
      <c r="D17" s="16" t="n">
        <f aca="false">'P_L global'!D15</f>
        <v>-7.1563691624375</v>
      </c>
      <c r="E17" s="16" t="n">
        <f aca="false">'P_L global'!E15</f>
        <v>-7.50820773964281</v>
      </c>
      <c r="F17" s="16" t="n">
        <f aca="false">'P_L global'!F15</f>
        <v>-8.11009831633842</v>
      </c>
    </row>
    <row r="18" customFormat="false" ht="15" hidden="false" customHeight="false" outlineLevel="0" collapsed="false">
      <c r="A18" s="17" t="s">
        <v>285</v>
      </c>
      <c r="B18" s="22" t="n">
        <f aca="false">IFERROR(B17/Primes!B7,0)</f>
        <v>-0.34972008045977</v>
      </c>
      <c r="C18" s="22" t="n">
        <f aca="false">IFERROR(C17/Primes!C7,0)</f>
        <v>-0.311925569542668</v>
      </c>
      <c r="D18" s="22" t="n">
        <f aca="false">IFERROR(D17/Primes!D7,0)</f>
        <v>-0.278241413780618</v>
      </c>
      <c r="E18" s="22" t="n">
        <f aca="false">IFERROR(E17/Primes!E7,0)</f>
        <v>-0.240108977922699</v>
      </c>
      <c r="F18" s="22" t="n">
        <f aca="false">IFERROR(F17/Primes!F7,0)</f>
        <v>-0.215293292177818</v>
      </c>
    </row>
    <row r="19" customFormat="false" ht="15" hidden="false" customHeight="false" outlineLevel="0" collapsed="false">
      <c r="A19" s="17" t="s">
        <v>286</v>
      </c>
      <c r="B19" s="22" t="n">
        <f aca="false">IFERROR(B17/Bilan!B19,0)</f>
        <v>-6.65135528456154</v>
      </c>
      <c r="C19" s="22" t="n">
        <f aca="false">IFERROR(C17/((Bilan!B19+Bilan!C19)/2),0)</f>
        <v>4.46923213246571</v>
      </c>
      <c r="D19" s="22" t="n">
        <f aca="false">IFERROR(D17/((Bilan!C19+Bilan!D19)/2),0)</f>
        <v>1.1366665205899</v>
      </c>
      <c r="E19" s="22" t="n">
        <f aca="false">IFERROR(E17/((Bilan!D19+Bilan!E19)/2),0)</f>
        <v>0.879268579880507</v>
      </c>
      <c r="F19" s="22" t="n">
        <f aca="false">IFERROR(F17/((Bilan!E19+Bilan!F19)/2),0)</f>
        <v>0.755997123142555</v>
      </c>
    </row>
    <row r="21" customFormat="false" ht="21.75" hidden="false" customHeight="true" outlineLevel="0" collapsed="false">
      <c r="A21" s="4" t="s">
        <v>287</v>
      </c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10" t="s">
        <v>288</v>
      </c>
      <c r="B22" s="27" t="n">
        <f aca="false">Hypothèses!B13</f>
        <v>0.08</v>
      </c>
      <c r="C22" s="27" t="n">
        <f aca="false">Hypothèses!C13</f>
        <v>0.08</v>
      </c>
      <c r="D22" s="27" t="n">
        <f aca="false">Hypothèses!D13</f>
        <v>0.075</v>
      </c>
      <c r="E22" s="27" t="n">
        <f aca="false">Hypothèses!E13</f>
        <v>0.07</v>
      </c>
      <c r="F22" s="27" t="n">
        <f aca="false">Hypothèses!F13</f>
        <v>0.07</v>
      </c>
    </row>
    <row r="23" customFormat="false" ht="15" hidden="false" customHeight="false" outlineLevel="0" collapsed="false">
      <c r="A23" s="10" t="s">
        <v>289</v>
      </c>
      <c r="B23" s="26" t="n">
        <f aca="false">1-Hypothèses!B13</f>
        <v>0.92</v>
      </c>
      <c r="C23" s="26" t="n">
        <f aca="false">1-Hypothèses!C13</f>
        <v>0.92</v>
      </c>
      <c r="D23" s="26" t="n">
        <f aca="false">1-Hypothèses!D13</f>
        <v>0.925</v>
      </c>
      <c r="E23" s="26" t="n">
        <f aca="false">1-Hypothèses!E13</f>
        <v>0.93</v>
      </c>
      <c r="F23" s="26" t="n">
        <f aca="false">1-Hypothèses!F13</f>
        <v>0.93</v>
      </c>
    </row>
    <row r="25" customFormat="false" ht="21.75" hidden="false" customHeight="true" outlineLevel="0" collapsed="false">
      <c r="A25" s="4" t="s">
        <v>290</v>
      </c>
      <c r="B25" s="4"/>
      <c r="C25" s="4"/>
      <c r="D25" s="4"/>
      <c r="E25" s="4"/>
      <c r="F25" s="4"/>
      <c r="G25" s="4"/>
      <c r="H25" s="4"/>
    </row>
    <row r="26" customFormat="false" ht="15" hidden="false" customHeight="false" outlineLevel="0" collapsed="false">
      <c r="A26" s="10" t="s">
        <v>291</v>
      </c>
      <c r="B26" s="28" t="n">
        <f aca="false">IFERROR(Placements!B21/Placements!B13,0)</f>
        <v>0.059</v>
      </c>
      <c r="C26" s="28" t="n">
        <f aca="false">IFERROR(Placements!C21/Placements!C13,0)</f>
        <v>0.059</v>
      </c>
      <c r="D26" s="28" t="n">
        <f aca="false">IFERROR(Placements!D21/Placements!D13,0)</f>
        <v>0.05635</v>
      </c>
      <c r="E26" s="28" t="n">
        <f aca="false">IFERROR(Placements!E21/Placements!E13,0)</f>
        <v>0.05635</v>
      </c>
      <c r="F26" s="28" t="n">
        <f aca="false">IFERROR(Placements!F21/Placements!F13,0)</f>
        <v>0.0535</v>
      </c>
    </row>
    <row r="27" customFormat="false" ht="15" hidden="false" customHeight="false" outlineLevel="0" collapsed="false">
      <c r="A27" s="10" t="s">
        <v>292</v>
      </c>
      <c r="B27" s="26" t="n">
        <f aca="false">IFERROR(Placements!B25/'Provisions techniques'!B16,0)</f>
        <v>0.776800073348966</v>
      </c>
      <c r="C27" s="26" t="n">
        <f aca="false">IFERROR(Placements!C25/'Provisions techniques'!C16,0)</f>
        <v>0.767108128277001</v>
      </c>
      <c r="D27" s="26" t="n">
        <f aca="false">IFERROR(Placements!D25/'Provisions techniques'!D16,0)</f>
        <v>0.757583552179657</v>
      </c>
      <c r="E27" s="26" t="n">
        <f aca="false">IFERROR(Placements!E25/'Provisions techniques'!E16,0)</f>
        <v>0.846278669327531</v>
      </c>
      <c r="F27" s="26" t="n">
        <f aca="false">IFERROR(Placements!F25/'Provisions techniques'!F16,0)</f>
        <v>0.828417873268166</v>
      </c>
    </row>
    <row r="29" customFormat="false" ht="21.75" hidden="false" customHeight="true" outlineLevel="0" collapsed="false">
      <c r="A29" s="4" t="s">
        <v>293</v>
      </c>
      <c r="B29" s="4"/>
      <c r="C29" s="4"/>
      <c r="D29" s="4"/>
      <c r="E29" s="4"/>
      <c r="F29" s="4"/>
      <c r="G29" s="4"/>
      <c r="H29" s="4"/>
    </row>
    <row r="30" customFormat="false" ht="15" hidden="false" customHeight="false" outlineLevel="0" collapsed="false">
      <c r="A30" s="17" t="s">
        <v>294</v>
      </c>
      <c r="B30" s="27" t="n">
        <f aca="false">'Marge solvabilité'!B14</f>
        <v>0.288784911616162</v>
      </c>
      <c r="C30" s="27" t="n">
        <f aca="false">'Marge solvabilité'!C14</f>
        <v>-1.05021988179534</v>
      </c>
      <c r="D30" s="27" t="n">
        <f aca="false">'Marge solvabilité'!D14</f>
        <v>-2.03070948182218</v>
      </c>
      <c r="E30" s="27" t="n">
        <f aca="false">'Marge solvabilité'!E14</f>
        <v>-1.66191719976593</v>
      </c>
      <c r="F30" s="27" t="n">
        <f aca="false">'Marge solvabilité'!F14</f>
        <v>-2.23048437892671</v>
      </c>
    </row>
  </sheetData>
  <mergeCells count="7">
    <mergeCell ref="A1:H1"/>
    <mergeCell ref="A4:H4"/>
    <mergeCell ref="A9:H9"/>
    <mergeCell ref="A14:H14"/>
    <mergeCell ref="A21:H21"/>
    <mergeCell ref="A25:H25"/>
    <mergeCell ref="A29:H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6" min="2" style="0" width="14"/>
    <col collapsed="false" customWidth="true" hidden="false" outlineLevel="0" max="7" min="7" style="0" width="4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1" t="s">
        <v>295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8"/>
      <c r="B3" s="9" t="s">
        <v>51</v>
      </c>
      <c r="C3" s="9" t="s">
        <v>52</v>
      </c>
      <c r="D3" s="9" t="s">
        <v>53</v>
      </c>
      <c r="E3" s="9" t="s">
        <v>54</v>
      </c>
      <c r="F3" s="9" t="s">
        <v>55</v>
      </c>
    </row>
    <row r="4" customFormat="false" ht="21.75" hidden="false" customHeight="true" outlineLevel="0" collapsed="false">
      <c r="A4" s="4" t="s">
        <v>296</v>
      </c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10" t="s">
        <v>297</v>
      </c>
      <c r="B5" s="16" t="n">
        <f aca="false">'P_L global'!B15</f>
        <v>-6.0851294</v>
      </c>
      <c r="C5" s="16" t="n">
        <f aca="false">'P_L global'!C15</f>
        <v>-6.61594133</v>
      </c>
      <c r="D5" s="16" t="n">
        <f aca="false">'P_L global'!D15</f>
        <v>-7.1563691624375</v>
      </c>
      <c r="E5" s="16" t="n">
        <f aca="false">'P_L global'!E15</f>
        <v>-7.50820773964281</v>
      </c>
      <c r="F5" s="16" t="n">
        <f aca="false">'P_L global'!F15</f>
        <v>-8.11009831633842</v>
      </c>
    </row>
    <row r="6" customFormat="false" ht="15" hidden="false" customHeight="false" outlineLevel="0" collapsed="false">
      <c r="A6" s="10" t="s">
        <v>298</v>
      </c>
      <c r="B6" s="27" t="n">
        <f aca="false">KPIs!B12</f>
        <v>1.15302515166835</v>
      </c>
      <c r="C6" s="27" t="n">
        <f aca="false">KPIs!C12</f>
        <v>1.12316331679421</v>
      </c>
      <c r="D6" s="27" t="n">
        <f aca="false">KPIs!D12</f>
        <v>1.09448023288572</v>
      </c>
      <c r="E6" s="27" t="n">
        <f aca="false">KPIs!E12</f>
        <v>1.07693403972474</v>
      </c>
      <c r="F6" s="27" t="n">
        <f aca="false">KPIs!F12</f>
        <v>1.05355934083998</v>
      </c>
    </row>
    <row r="8" customFormat="false" ht="21.75" hidden="false" customHeight="true" outlineLevel="0" collapsed="false">
      <c r="A8" s="4" t="s">
        <v>299</v>
      </c>
      <c r="B8" s="4"/>
      <c r="C8" s="4"/>
      <c r="D8" s="4"/>
      <c r="E8" s="4"/>
      <c r="F8" s="4"/>
      <c r="G8" s="4"/>
      <c r="H8" s="4"/>
    </row>
    <row r="9" customFormat="false" ht="15" hidden="false" customHeight="false" outlineLevel="0" collapsed="false">
      <c r="A9" s="10" t="s">
        <v>300</v>
      </c>
      <c r="B9" s="20" t="n">
        <f aca="false">Sinistres!B17+Primes!B11*0.1</f>
        <v>10.69924</v>
      </c>
      <c r="C9" s="20" t="n">
        <f aca="false">Sinistres!C17+Primes!C11*0.1</f>
        <v>12.596232</v>
      </c>
      <c r="D9" s="20" t="n">
        <f aca="false">Sinistres!D17+Primes!D11*0.1</f>
        <v>14.827552</v>
      </c>
      <c r="E9" s="20" t="n">
        <f aca="false">Sinistres!E17+Primes!E11*0.1</f>
        <v>17.557632</v>
      </c>
      <c r="F9" s="20" t="n">
        <f aca="false">Sinistres!F17+Primes!F11*0.1</f>
        <v>20.576168</v>
      </c>
    </row>
    <row r="10" customFormat="false" ht="15" hidden="false" customHeight="false" outlineLevel="0" collapsed="false">
      <c r="A10" s="17" t="s">
        <v>301</v>
      </c>
      <c r="B10" s="18" t="n">
        <f aca="false">-Primes!B11*0.1*(1-Hypothèses!B6)</f>
        <v>-0.83076</v>
      </c>
      <c r="C10" s="18" t="n">
        <f aca="false">-Primes!C11*0.1*(1-Hypothèses!C6)</f>
        <v>-0.998844</v>
      </c>
      <c r="D10" s="18" t="n">
        <f aca="false">-Primes!D11*0.1*(1-Hypothèses!D6)</f>
        <v>-1.192688</v>
      </c>
      <c r="E10" s="18" t="n">
        <f aca="false">-Primes!E11*0.1*(1-Hypothèses!E6)</f>
        <v>-1.432256</v>
      </c>
      <c r="F10" s="18" t="n">
        <f aca="false">-Primes!F11*0.1*(1-Hypothèses!F6)</f>
        <v>-1.70338</v>
      </c>
    </row>
    <row r="11" customFormat="false" ht="15" hidden="false" customHeight="false" outlineLevel="0" collapsed="false">
      <c r="A11" s="17" t="s">
        <v>302</v>
      </c>
      <c r="B11" s="18" t="n">
        <f aca="false">B5+B10</f>
        <v>-6.9158894</v>
      </c>
      <c r="C11" s="18" t="n">
        <f aca="false">C5+C10</f>
        <v>-7.61478533</v>
      </c>
      <c r="D11" s="18" t="n">
        <f aca="false">D5+D10</f>
        <v>-8.3490571624375</v>
      </c>
      <c r="E11" s="18" t="n">
        <f aca="false">E5+E10</f>
        <v>-8.94046373964281</v>
      </c>
      <c r="F11" s="18" t="n">
        <f aca="false">F5+F10</f>
        <v>-9.81347831633842</v>
      </c>
    </row>
    <row r="13" customFormat="false" ht="21.75" hidden="false" customHeight="true" outlineLevel="0" collapsed="false">
      <c r="A13" s="4" t="s">
        <v>303</v>
      </c>
      <c r="B13" s="4"/>
      <c r="C13" s="4"/>
      <c r="D13" s="4"/>
      <c r="E13" s="4"/>
      <c r="F13" s="4"/>
      <c r="G13" s="4"/>
      <c r="H13" s="4"/>
    </row>
    <row r="14" customFormat="false" ht="15" hidden="false" customHeight="false" outlineLevel="0" collapsed="false">
      <c r="A14" s="10" t="s">
        <v>304</v>
      </c>
      <c r="B14" s="20" t="n">
        <f aca="false">-Placements!B13*0.02</f>
        <v>-0.612618</v>
      </c>
      <c r="C14" s="20" t="n">
        <f aca="false">-Placements!C13*0.02</f>
        <v>-0.6550426</v>
      </c>
      <c r="D14" s="20" t="n">
        <f aca="false">-Placements!D13*0.02</f>
        <v>-0.704181575</v>
      </c>
      <c r="E14" s="20" t="n">
        <f aca="false">-Placements!E13*0.02</f>
        <v>-0.862323626125</v>
      </c>
      <c r="F14" s="20" t="n">
        <f aca="false">-Placements!F13*0.02</f>
        <v>-0.928626553039375</v>
      </c>
    </row>
    <row r="15" customFormat="false" ht="15" hidden="false" customHeight="false" outlineLevel="0" collapsed="false">
      <c r="A15" s="17" t="s">
        <v>305</v>
      </c>
      <c r="B15" s="18" t="n">
        <f aca="false">-Placements!B13*0.02*(1-Hypothèses!B6)</f>
        <v>-0.4288326</v>
      </c>
      <c r="C15" s="18" t="n">
        <f aca="false">-Placements!C13*0.02*(1-Hypothèses!C6)</f>
        <v>-0.45852982</v>
      </c>
      <c r="D15" s="18" t="n">
        <f aca="false">-Placements!D13*0.02*(1-Hypothèses!D6)</f>
        <v>-0.4929271025</v>
      </c>
      <c r="E15" s="18" t="n">
        <f aca="false">-Placements!E13*0.02*(1-Hypothèses!E6)</f>
        <v>-0.6036265382875</v>
      </c>
      <c r="F15" s="18" t="n">
        <f aca="false">-Placements!F13*0.02*(1-Hypothèses!F6)</f>
        <v>-0.650038587127562</v>
      </c>
    </row>
    <row r="17" customFormat="false" ht="21.75" hidden="false" customHeight="true" outlineLevel="0" collapsed="false">
      <c r="A17" s="4" t="s">
        <v>306</v>
      </c>
      <c r="B17" s="4"/>
      <c r="C17" s="4"/>
      <c r="D17" s="4"/>
      <c r="E17" s="4"/>
      <c r="F17" s="4"/>
      <c r="G17" s="4"/>
      <c r="H17" s="4"/>
    </row>
    <row r="18" customFormat="false" ht="15" hidden="false" customHeight="false" outlineLevel="0" collapsed="false">
      <c r="A18" s="10" t="s">
        <v>307</v>
      </c>
      <c r="B18" s="20" t="n">
        <f aca="false">'Provisions techniques'!B6*Hypothèses!B14*0.5</f>
        <v>0.6345</v>
      </c>
      <c r="C18" s="20" t="n">
        <f aca="false">'Provisions techniques'!C6*Hypothèses!C14*0.5</f>
        <v>0.6738075</v>
      </c>
      <c r="D18" s="20" t="n">
        <f aca="false">'Provisions techniques'!D6*Hypothèses!D14*0.5</f>
        <v>0.659074865625</v>
      </c>
      <c r="E18" s="20" t="n">
        <f aca="false">'Provisions techniques'!E6*Hypothèses!E14*0.5</f>
        <v>0.64270453265625</v>
      </c>
      <c r="F18" s="20" t="n">
        <f aca="false">'Provisions techniques'!F6*Hypothèses!F14*0.5</f>
        <v>0.693249191299219</v>
      </c>
    </row>
    <row r="19" customFormat="false" ht="15" hidden="false" customHeight="false" outlineLevel="0" collapsed="false">
      <c r="A19" s="17" t="s">
        <v>308</v>
      </c>
      <c r="B19" s="18" t="n">
        <f aca="false">B18</f>
        <v>0.6345</v>
      </c>
      <c r="C19" s="18" t="n">
        <f aca="false">C18</f>
        <v>0.6738075</v>
      </c>
      <c r="D19" s="18" t="n">
        <f aca="false">D18</f>
        <v>0.659074865625</v>
      </c>
      <c r="E19" s="18" t="n">
        <f aca="false">E18</f>
        <v>0.64270453265625</v>
      </c>
      <c r="F19" s="18" t="n">
        <f aca="false">F18</f>
        <v>0.693249191299219</v>
      </c>
    </row>
  </sheetData>
  <mergeCells count="5">
    <mergeCell ref="A1:H1"/>
    <mergeCell ref="A4:H4"/>
    <mergeCell ref="A8:H8"/>
    <mergeCell ref="A13:H13"/>
    <mergeCell ref="A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4" min="2" style="0" width="16"/>
    <col collapsed="false" customWidth="true" hidden="false" outlineLevel="0" max="5" min="5" style="0" width="4"/>
    <col collapsed="false" customWidth="true" hidden="false" outlineLevel="0" max="6" min="6" style="0" width="16"/>
  </cols>
  <sheetData>
    <row r="1" customFormat="false" ht="27.75" hidden="false" customHeight="true" outlineLevel="0" collapsed="false">
      <c r="A1" s="1" t="s">
        <v>309</v>
      </c>
      <c r="B1" s="1"/>
      <c r="C1" s="1"/>
      <c r="D1" s="1"/>
      <c r="E1" s="1"/>
      <c r="F1" s="1"/>
    </row>
    <row r="3" customFormat="false" ht="25.5" hidden="false" customHeight="true" outlineLevel="0" collapsed="false">
      <c r="A3" s="29" t="s">
        <v>310</v>
      </c>
      <c r="B3" s="29"/>
      <c r="C3" s="29"/>
      <c r="D3" s="29"/>
      <c r="E3" s="29"/>
      <c r="F3" s="29"/>
    </row>
    <row r="5" customFormat="false" ht="15" hidden="false" customHeight="false" outlineLevel="0" collapsed="false">
      <c r="A5" s="30" t="s">
        <v>311</v>
      </c>
      <c r="B5" s="9" t="s">
        <v>312</v>
      </c>
      <c r="C5" s="9" t="s">
        <v>313</v>
      </c>
      <c r="D5" s="9" t="s">
        <v>314</v>
      </c>
      <c r="E5" s="9"/>
      <c r="F5" s="9" t="s">
        <v>315</v>
      </c>
    </row>
    <row r="6" customFormat="false" ht="15" hidden="false" customHeight="false" outlineLevel="0" collapsed="false">
      <c r="A6" s="10" t="s">
        <v>316</v>
      </c>
      <c r="B6" s="20" t="n">
        <f aca="false">Primes!F7*0.85</f>
        <v>32.0195</v>
      </c>
      <c r="C6" s="16" t="n">
        <f aca="false">Primes!F7</f>
        <v>37.67</v>
      </c>
      <c r="D6" s="20" t="n">
        <f aca="false">Primes!F7*1.15</f>
        <v>43.3205</v>
      </c>
      <c r="F6" s="31" t="s">
        <v>317</v>
      </c>
    </row>
    <row r="7" customFormat="false" ht="15" hidden="false" customHeight="false" outlineLevel="0" collapsed="false">
      <c r="A7" s="10" t="s">
        <v>318</v>
      </c>
      <c r="B7" s="20" t="n">
        <f aca="false">'P_L global'!F15*0.5</f>
        <v>-4.05504915816921</v>
      </c>
      <c r="C7" s="16" t="n">
        <f aca="false">'P_L global'!F15</f>
        <v>-8.11009831633842</v>
      </c>
      <c r="D7" s="20" t="n">
        <f aca="false">'P_L global'!F15*1.4</f>
        <v>-11.3541376428738</v>
      </c>
      <c r="F7" s="31" t="s">
        <v>319</v>
      </c>
    </row>
    <row r="8" customFormat="false" ht="15" hidden="false" customHeight="false" outlineLevel="0" collapsed="false">
      <c r="A8" s="10" t="s">
        <v>320</v>
      </c>
      <c r="B8" s="26" t="n">
        <f aca="false">KPIs!F12*1.1</f>
        <v>1.15891527492397</v>
      </c>
      <c r="C8" s="27" t="n">
        <f aca="false">KPIs!F12</f>
        <v>1.05355934083998</v>
      </c>
      <c r="D8" s="26" t="n">
        <f aca="false">KPIs!F12*0.93</f>
        <v>0.979810186981179</v>
      </c>
      <c r="F8" s="31" t="s">
        <v>321</v>
      </c>
    </row>
    <row r="9" customFormat="false" ht="15" hidden="false" customHeight="false" outlineLevel="0" collapsed="false">
      <c r="A9" s="10" t="s">
        <v>322</v>
      </c>
      <c r="B9" s="26" t="n">
        <f aca="false">KPIs!F19*0.5</f>
        <v>0.377998561571277</v>
      </c>
      <c r="C9" s="27" t="n">
        <f aca="false">KPIs!F19</f>
        <v>0.755997123142555</v>
      </c>
      <c r="D9" s="26" t="n">
        <f aca="false">KPIs!F19*1.4</f>
        <v>1.05839597239958</v>
      </c>
      <c r="F9" s="31" t="s">
        <v>319</v>
      </c>
    </row>
    <row r="10" customFormat="false" ht="15" hidden="false" customHeight="false" outlineLevel="0" collapsed="false">
      <c r="A10" s="10" t="s">
        <v>323</v>
      </c>
      <c r="B10" s="26" t="n">
        <f aca="false">'Marge solvabilité'!F14*0.75</f>
        <v>-1.67286328419504</v>
      </c>
      <c r="C10" s="27" t="n">
        <f aca="false">'Marge solvabilité'!F14</f>
        <v>-2.23048437892671</v>
      </c>
      <c r="D10" s="26" t="n">
        <f aca="false">'Marge solvabilité'!F14*1.2</f>
        <v>-2.67658125471206</v>
      </c>
      <c r="F10" s="31" t="s">
        <v>324</v>
      </c>
    </row>
    <row r="13" customFormat="false" ht="15" hidden="false" customHeight="false" outlineLevel="0" collapsed="false">
      <c r="A13" s="32" t="s">
        <v>325</v>
      </c>
      <c r="B13" s="32"/>
      <c r="C13" s="32"/>
      <c r="D13" s="32"/>
      <c r="E13" s="32"/>
      <c r="F13" s="32"/>
    </row>
    <row r="14" customFormat="false" ht="21.75" hidden="false" customHeight="true" outlineLevel="0" collapsed="false">
      <c r="A14" s="33" t="s">
        <v>326</v>
      </c>
      <c r="B14" s="33"/>
      <c r="C14" s="33"/>
      <c r="D14" s="33"/>
      <c r="E14" s="33"/>
      <c r="F14" s="33"/>
    </row>
    <row r="15" customFormat="false" ht="21.75" hidden="false" customHeight="true" outlineLevel="0" collapsed="false">
      <c r="A15" s="33" t="s">
        <v>327</v>
      </c>
      <c r="B15" s="33"/>
      <c r="C15" s="33"/>
      <c r="D15" s="33"/>
      <c r="E15" s="33"/>
      <c r="F15" s="33"/>
    </row>
  </sheetData>
  <mergeCells count="5">
    <mergeCell ref="A1:F1"/>
    <mergeCell ref="A3:F3"/>
    <mergeCell ref="A13:F13"/>
    <mergeCell ref="A14:F14"/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2026-05-11T18:07:38Z</dcterms:created>
  <dc:creator>openpyxl</dc:creator>
  <dc:description/>
  <dc:language>en-US</dc:language>
  <cp:lastModifiedBy/>
  <dcterms:modified xsi:type="dcterms:W3CDTF">2026-05-11T18:07:38Z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