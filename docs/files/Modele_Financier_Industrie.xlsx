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ice" sheetId="1" state="visible" r:id="rId3"/>
    <sheet name="Hypothèses" sheetId="2" state="visible" r:id="rId4"/>
    <sheet name="Catalogue" sheetId="3" state="visible" r:id="rId5"/>
    <sheet name="Production" sheetId="4" state="visible" r:id="rId6"/>
    <sheet name="Achats MP" sheetId="5" state="visible" r:id="rId7"/>
    <sheet name="Stocks" sheetId="6" state="visible" r:id="rId8"/>
    <sheet name="Coûts directs" sheetId="7" state="visible" r:id="rId9"/>
    <sheet name="Coûts standards" sheetId="8" state="visible" r:id="rId10"/>
    <sheet name="CAPEX" sheetId="9" state="visible" r:id="rId11"/>
    <sheet name="Charges fixes" sheetId="10" state="visible" r:id="rId12"/>
    <sheet name="P_L" sheetId="11" state="visible" r:id="rId13"/>
    <sheet name="Bilan" sheetId="12" state="visible" r:id="rId14"/>
    <sheet name="Trésorerie &amp; KPI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<sst xmlns="http://schemas.openxmlformats.org/spreadsheetml/2006/main" count="344" uniqueCount="276">
  <si>
    <t xml:space="preserve">MODÈLE FINANCIER — INDUSTRIE &amp; MANUFACTURE</t>
  </si>
  <si>
    <t xml:space="preserve">H&amp;C Group — Référence multisectorielle</t>
  </si>
  <si>
    <t xml:space="preserve">Conformité : SYSCOHADA + IAS 2 (stocks)</t>
  </si>
  <si>
    <t xml:space="preserve">1. OBJET DU MODÈLE</t>
  </si>
  <si>
    <t xml:space="preserve">Objet</t>
  </si>
  <si>
    <t xml:space="preserve">Plan d'affaires sur 5 ans d'une entreprise industrielle (agro-alimentaire, transformation, manufacture). Modèle de référence H&amp;C Group.</t>
  </si>
  <si>
    <t xml:space="preserve">Périmètre</t>
  </si>
  <si>
    <t xml:space="preserve">Catalogue produits &amp; nomenclatures, plan de production &amp; OEE, achats matières premières, stocks multi-niveaux, coûts directs, P&amp;L, bilan, trésorerie.</t>
  </si>
  <si>
    <t xml:space="preserve">Hypothèses clés</t>
  </si>
  <si>
    <t xml:space="preserve">Capacité de production, OEE, BOM, prix MP, productivité MOD, énergie, CAPEX industriel, prix de vente.</t>
  </si>
  <si>
    <t xml:space="preserve">2. STRUCTURE DU MODÈLE</t>
  </si>
  <si>
    <t xml:space="preserve">Hypothèses</t>
  </si>
  <si>
    <t xml:space="preserve">Macro, fiscalité, catalogue, capacité, coûts</t>
  </si>
  <si>
    <t xml:space="preserve">Catalogue</t>
  </si>
  <si>
    <t xml:space="preserve">Produits, prix de vente, BOM</t>
  </si>
  <si>
    <t xml:space="preserve">Production</t>
  </si>
  <si>
    <t xml:space="preserve">Plan production, capacité, OEE, taux d'utilisation</t>
  </si>
  <si>
    <t xml:space="preserve">Achats MP</t>
  </si>
  <si>
    <t xml:space="preserve">Volumes, prix, stock MP</t>
  </si>
  <si>
    <t xml:space="preserve">Stocks</t>
  </si>
  <si>
    <t xml:space="preserve">MP, en-cours, produits finis</t>
  </si>
  <si>
    <t xml:space="preserve">Coûts directs</t>
  </si>
  <si>
    <t xml:space="preserve">MP, MOD, énergie, frais généraux usine</t>
  </si>
  <si>
    <t xml:space="preserve">Coûts standards</t>
  </si>
  <si>
    <t xml:space="preserve">Écarts prix MP, quantité MP, productivité MOD</t>
  </si>
  <si>
    <t xml:space="preserve">CAPEX</t>
  </si>
  <si>
    <t xml:space="preserve">Investissements industriels, amortissements</t>
  </si>
  <si>
    <t xml:space="preserve">Charges fixes</t>
  </si>
  <si>
    <t xml:space="preserve">RH structure, loyers, autres charges</t>
  </si>
  <si>
    <t xml:space="preserve">P_L</t>
  </si>
  <si>
    <t xml:space="preserve">Compte de résultat</t>
  </si>
  <si>
    <t xml:space="preserve">Bilan</t>
  </si>
  <si>
    <t xml:space="preserve">Actif / passif</t>
  </si>
  <si>
    <t xml:space="preserve">Trésorerie &amp; KPIs</t>
  </si>
  <si>
    <t xml:space="preserve">BFR, FCF, OEE, marges</t>
  </si>
  <si>
    <t xml:space="preserve">3. CODE COULEUR</t>
  </si>
  <si>
    <t xml:space="preserve">Bleu (input)</t>
  </si>
  <si>
    <t xml:space="preserve">Cellule saisie manuellement</t>
  </si>
  <si>
    <t xml:space="preserve">Noir (formule)</t>
  </si>
  <si>
    <t xml:space="preserve">Cellule calculée</t>
  </si>
  <si>
    <t xml:space="preserve">Vert (lien)</t>
  </si>
  <si>
    <t xml:space="preserve">Lien vers autre feuille</t>
  </si>
  <si>
    <t xml:space="preserve">Fond jaune</t>
  </si>
  <si>
    <t xml:space="preserve">Hypothèse clé</t>
  </si>
  <si>
    <t xml:space="preserve">Bandeau navy</t>
  </si>
  <si>
    <t xml:space="preserve">Titre</t>
  </si>
  <si>
    <t xml:space="preserve">Bandeau or</t>
  </si>
  <si>
    <t xml:space="preserve">Sous-titre</t>
  </si>
  <si>
    <t xml:space="preserve">HYPOTHÈSES — INDUSTRIE</t>
  </si>
  <si>
    <t xml:space="preserve">Y1 (2026)</t>
  </si>
  <si>
    <t xml:space="preserve">Y2 (2027)</t>
  </si>
  <si>
    <t xml:space="preserve">Y3 (2028)</t>
  </si>
  <si>
    <t xml:space="preserve">Y4 (2029)</t>
  </si>
  <si>
    <t xml:space="preserve">Y5 (2030)</t>
  </si>
  <si>
    <t xml:space="preserve">1. MACRO &amp; FISCALITÉ</t>
  </si>
  <si>
    <t xml:space="preserve">Inflation (%)</t>
  </si>
  <si>
    <t xml:space="preserve">Zone CFA</t>
  </si>
  <si>
    <t xml:space="preserve">Taux IS (%)</t>
  </si>
  <si>
    <t xml:space="preserve">Avec abattements</t>
  </si>
  <si>
    <t xml:space="preserve">TVA (%)</t>
  </si>
  <si>
    <t xml:space="preserve">Récupérable</t>
  </si>
  <si>
    <t xml:space="preserve">Charges patronales (%)</t>
  </si>
  <si>
    <t xml:space="preserve">Prix USD/FCFA</t>
  </si>
  <si>
    <t xml:space="preserve">MP importées</t>
  </si>
  <si>
    <t xml:space="preserve">2. CATALOGUE PRODUITS &amp; PRIX</t>
  </si>
  <si>
    <t xml:space="preserve">Produit A — Volume vente (kT)</t>
  </si>
  <si>
    <t xml:space="preserve">Famille principale</t>
  </si>
  <si>
    <t xml:space="preserve">Produit B — Volume vente (kT)</t>
  </si>
  <si>
    <t xml:space="preserve">Produit C — Volume vente (kT)</t>
  </si>
  <si>
    <t xml:space="preserve">Prix de vente Produit A (k FCFA/T)</t>
  </si>
  <si>
    <t xml:space="preserve">Prix de vente Produit B (k FCFA/T)</t>
  </si>
  <si>
    <t xml:space="preserve">Prix de vente Produit C (k FCFA/T)</t>
  </si>
  <si>
    <t xml:space="preserve">3. CAPACITÉ DE PRODUCTION</t>
  </si>
  <si>
    <t xml:space="preserve">Capacité théorique (kT/an)</t>
  </si>
  <si>
    <t xml:space="preserve">Limite physique</t>
  </si>
  <si>
    <t xml:space="preserve">OEE — Overall Equipment Effectiveness (%)</t>
  </si>
  <si>
    <t xml:space="preserve">Cible évolutive</t>
  </si>
  <si>
    <t xml:space="preserve">Taux de rebut/casse (%)</t>
  </si>
  <si>
    <t xml:space="preserve">Qualité progressive</t>
  </si>
  <si>
    <t xml:space="preserve">4. BOM — COÛTS UNITAIRES (par tonne)</t>
  </si>
  <si>
    <t xml:space="preserve">MP par tonne Produit A (k FCFA)</t>
  </si>
  <si>
    <t xml:space="preserve">MP par tonne Produit B (k FCFA)</t>
  </si>
  <si>
    <t xml:space="preserve">MP par tonne Produit C (k FCFA)</t>
  </si>
  <si>
    <t xml:space="preserve">MOD par tonne (k FCFA, moyenne)</t>
  </si>
  <si>
    <t xml:space="preserve">Énergie par tonne (k FCFA)</t>
  </si>
  <si>
    <t xml:space="preserve">Consommables/emballages par tonne (k FCFA)</t>
  </si>
  <si>
    <t xml:space="preserve">5. CYCLE D'EXPLOITATION (jours)</t>
  </si>
  <si>
    <t xml:space="preserve">Rotation MP (jours)</t>
  </si>
  <si>
    <t xml:space="preserve">DPO MP</t>
  </si>
  <si>
    <t xml:space="preserve">Rotation en-cours (jours)</t>
  </si>
  <si>
    <t xml:space="preserve">Rotation produits finis (jours)</t>
  </si>
  <si>
    <t xml:space="preserve">DSO clients (jours)</t>
  </si>
  <si>
    <t xml:space="preserve">B2B principalement</t>
  </si>
  <si>
    <t xml:space="preserve">DPO fournisseurs MP (jours)</t>
  </si>
  <si>
    <t xml:space="preserve">6. RH &amp; SALAIRES</t>
  </si>
  <si>
    <t xml:space="preserve">Effectifs MOD directe</t>
  </si>
  <si>
    <t xml:space="preserve">Effectifs encadrement</t>
  </si>
  <si>
    <t xml:space="preserve">Effectifs support (admin, vente, R&amp;D)</t>
  </si>
  <si>
    <t xml:space="preserve">Salaire chargé moyen MOD (M FCFA/an)</t>
  </si>
  <si>
    <t xml:space="preserve">Salaire chargé moyen encadrement (M FCFA/an)</t>
  </si>
  <si>
    <t xml:space="preserve">Salaire chargé moyen support (M FCFA/an)</t>
  </si>
  <si>
    <t xml:space="preserve">7. CHARGES FIXES</t>
  </si>
  <si>
    <t xml:space="preserve">Loyers &amp; immobilier</t>
  </si>
  <si>
    <t xml:space="preserve">Maintenance équipements</t>
  </si>
  <si>
    <t xml:space="preserve">Énergie fixe (éclairage, climat)</t>
  </si>
  <si>
    <t xml:space="preserve">IT, télécoms, logiciels</t>
  </si>
  <si>
    <t xml:space="preserve">Marketing &amp; ventes</t>
  </si>
  <si>
    <t xml:space="preserve">Honoraires, conseil, audit</t>
  </si>
  <si>
    <t xml:space="preserve">Autres charges externes</t>
  </si>
  <si>
    <t xml:space="preserve">8. CAPEX, CAPITAL &amp; DETTE</t>
  </si>
  <si>
    <t xml:space="preserve">Immobilisations brutes initiales (Md FCFA)</t>
  </si>
  <si>
    <t xml:space="preserve">CAPEX nouveau (Md FCFA)</t>
  </si>
  <si>
    <t xml:space="preserve">Extension Y3</t>
  </si>
  <si>
    <t xml:space="preserve">Durée moyenne d'amortissement (années)</t>
  </si>
  <si>
    <t xml:space="preserve">Capital social initial (Md FCFA)</t>
  </si>
  <si>
    <t xml:space="preserve">AK Y4</t>
  </si>
  <si>
    <t xml:space="preserve">Dette long terme initiale (Md FCFA)</t>
  </si>
  <si>
    <t xml:space="preserve">Taux moyen dette (%)</t>
  </si>
  <si>
    <t xml:space="preserve">Distribution dividendes (% RN)</t>
  </si>
  <si>
    <t xml:space="preserve">CATALOGUE — VOLUMES, PRIX &amp; CHIFFRE D'AFFAIRES</t>
  </si>
  <si>
    <t xml:space="preserve">VOLUMES DE VENTE (kT)</t>
  </si>
  <si>
    <t xml:space="preserve">Produit A</t>
  </si>
  <si>
    <t xml:space="preserve">Produit B</t>
  </si>
  <si>
    <t xml:space="preserve">Produit C</t>
  </si>
  <si>
    <t xml:space="preserve">Volume total vente (kT)</t>
  </si>
  <si>
    <t xml:space="preserve">PRIX DE VENTE (k FCFA / T)</t>
  </si>
  <si>
    <t xml:space="preserve">CHIFFRE D'AFFAIRES (Md FCFA)</t>
  </si>
  <si>
    <t xml:space="preserve">CA Produit A</t>
  </si>
  <si>
    <t xml:space="preserve">CA Produit B</t>
  </si>
  <si>
    <t xml:space="preserve">CA Produit C</t>
  </si>
  <si>
    <t xml:space="preserve">CA TOTAL (Md FCFA)</t>
  </si>
  <si>
    <t xml:space="preserve">ANALYSE PRIX MOYEN</t>
  </si>
  <si>
    <t xml:space="preserve">Prix de vente moyen pondéré (k FCFA/T)</t>
  </si>
  <si>
    <t xml:space="preserve">PLAN DE PRODUCTION — CAPACITÉ &amp; OEE</t>
  </si>
  <si>
    <t xml:space="preserve">CAPACITÉ THÉORIQUE &amp; UTILISATION</t>
  </si>
  <si>
    <t xml:space="preserve">OEE — Overall Equipment Effectiveness</t>
  </si>
  <si>
    <t xml:space="preserve">Production brute réelle (kT)</t>
  </si>
  <si>
    <t xml:space="preserve">Taux de rebut (%)</t>
  </si>
  <si>
    <t xml:space="preserve">Rebuts (kT)</t>
  </si>
  <si>
    <t xml:space="preserve">Production nette (kT)</t>
  </si>
  <si>
    <t xml:space="preserve">DEMANDE COMMERCIALE</t>
  </si>
  <si>
    <t xml:space="preserve">Volume total vendu (kT)</t>
  </si>
  <si>
    <t xml:space="preserve">Taux d'utilisation effectif (%)</t>
  </si>
  <si>
    <t xml:space="preserve">Marge / surcapacité (kT)</t>
  </si>
  <si>
    <t xml:space="preserve">ACHATS MATIÈRES PREMIÈRES &amp; CONSOMMATIONS</t>
  </si>
  <si>
    <t xml:space="preserve">CONSOMMATIONS DE MATIÈRES PREMIÈRES (Md FCFA)</t>
  </si>
  <si>
    <t xml:space="preserve">MP consommée — Produit A</t>
  </si>
  <si>
    <t xml:space="preserve">MP consommée — Produit B</t>
  </si>
  <si>
    <t xml:space="preserve">MP consommée — Produit C</t>
  </si>
  <si>
    <t xml:space="preserve">Total MP consommée (Md FCFA)</t>
  </si>
  <si>
    <t xml:space="preserve">STOCK MATIÈRES PREMIÈRES (Md FCFA)</t>
  </si>
  <si>
    <t xml:space="preserve">Stock MP (= conso annuelle * rotation/365)</t>
  </si>
  <si>
    <t xml:space="preserve">ACHATS MP (= conso + variation stock)</t>
  </si>
  <si>
    <t xml:space="preserve">Achats MP de l'exercice</t>
  </si>
  <si>
    <t xml:space="preserve">STOCKS — MP, EN-COURS, PRODUITS FINIS</t>
  </si>
  <si>
    <t xml:space="preserve">VALORISATION DES STOCKS (Md FCFA)</t>
  </si>
  <si>
    <t xml:space="preserve">Stock MP (fin période)</t>
  </si>
  <si>
    <t xml:space="preserve">Stock en-cours (WIP)</t>
  </si>
  <si>
    <t xml:space="preserve">Stock produits finis</t>
  </si>
  <si>
    <t xml:space="preserve">Total stocks</t>
  </si>
  <si>
    <t xml:space="preserve">INDICATEURS STOCKS</t>
  </si>
  <si>
    <t xml:space="preserve">Stock total / CA (en jours)</t>
  </si>
  <si>
    <t xml:space="preserve">COÛTS DIRECTS DE PRODUCTION</t>
  </si>
  <si>
    <t xml:space="preserve">COÛTS DIRECTS UNITAIRES (par tonne) (k FCFA/T)</t>
  </si>
  <si>
    <t xml:space="preserve">MOD par tonne</t>
  </si>
  <si>
    <t xml:space="preserve">Énergie par tonne</t>
  </si>
  <si>
    <t xml:space="preserve">Consommables par tonne</t>
  </si>
  <si>
    <t xml:space="preserve">COÛTS DIRECTS TOTAUX (Md FCFA)</t>
  </si>
  <si>
    <t xml:space="preserve">Coût MP consommé</t>
  </si>
  <si>
    <t xml:space="preserve">Coût MOD totale</t>
  </si>
  <si>
    <t xml:space="preserve">Coût énergie variable</t>
  </si>
  <si>
    <t xml:space="preserve">Coût consommables &amp; emballages</t>
  </si>
  <si>
    <t xml:space="preserve">Total coûts directs</t>
  </si>
  <si>
    <t xml:space="preserve">INDICATEURS MARGE</t>
  </si>
  <si>
    <t xml:space="preserve">Marge brute (Md FCFA)</t>
  </si>
  <si>
    <t xml:space="preserve">Taux marge brute (%)</t>
  </si>
  <si>
    <t xml:space="preserve">COÛTS STANDARDS &amp; ANALYSE DES ÉCARTS</t>
  </si>
  <si>
    <t xml:space="preserve">COÛT STANDARD UNITAIRE (par tonne)</t>
  </si>
  <si>
    <t xml:space="preserve">MP standard (Produit A, k FCFA/T)</t>
  </si>
  <si>
    <t xml:space="preserve">MOD standard (k FCFA/T)</t>
  </si>
  <si>
    <t xml:space="preserve">Énergie standard (k FCFA/T)</t>
  </si>
  <si>
    <t xml:space="preserve">Total coût standard Produit A (k FCFA/T)</t>
  </si>
  <si>
    <t xml:space="preserve">ANALYSE DES ÉCARTS (illustratif)</t>
  </si>
  <si>
    <t xml:space="preserve">Écart prix MP — % budgétaire (input)</t>
  </si>
  <si>
    <t xml:space="preserve">Impact financier écart prix MP (Md FCFA)</t>
  </si>
  <si>
    <t xml:space="preserve">Écart quantité MP — % budgétaire (input)</t>
  </si>
  <si>
    <t xml:space="preserve">Impact financier écart quantité MP (Md FCFA)</t>
  </si>
  <si>
    <t xml:space="preserve">Écart productivité MOD — % (input)</t>
  </si>
  <si>
    <t xml:space="preserve">Impact financier écart MOD (Md FCFA)</t>
  </si>
  <si>
    <t xml:space="preserve">INVESTISSEMENTS &amp; AMORTISSEMENTS</t>
  </si>
  <si>
    <t xml:space="preserve">IMMOBILISATIONS BRUTES (Md FCFA)</t>
  </si>
  <si>
    <t xml:space="preserve">Immo brutes début période</t>
  </si>
  <si>
    <t xml:space="preserve">CAPEX nouveau de l'exercice</t>
  </si>
  <si>
    <t xml:space="preserve">Immo brutes fin période</t>
  </si>
  <si>
    <t xml:space="preserve">AMORTISSEMENTS (Md FCFA)</t>
  </si>
  <si>
    <t xml:space="preserve">Dotation aux amortissements annuelle</t>
  </si>
  <si>
    <t xml:space="preserve">Amortissements cumulés début</t>
  </si>
  <si>
    <t xml:space="preserve">Amortissements cumulés fin</t>
  </si>
  <si>
    <t xml:space="preserve">IMMOBILISATIONS NETTES</t>
  </si>
  <si>
    <t xml:space="preserve">Immobilisations nettes (= brut - amortis cumulés)</t>
  </si>
  <si>
    <t xml:space="preserve">CHARGES FIXES &amp; RH</t>
  </si>
  <si>
    <t xml:space="preserve">MASSE SALARIALE (Md FCFA)</t>
  </si>
  <si>
    <t xml:space="preserve">Encadrement production</t>
  </si>
  <si>
    <t xml:space="preserve">Support (admin, vente, R&amp;D)</t>
  </si>
  <si>
    <t xml:space="preserve">Total masse salariale fixe</t>
  </si>
  <si>
    <t xml:space="preserve">AUTRES CHARGES FIXES (Md FCFA)</t>
  </si>
  <si>
    <t xml:space="preserve">Énergie fixe</t>
  </si>
  <si>
    <t xml:space="preserve">IT, télécoms</t>
  </si>
  <si>
    <t xml:space="preserve">Total autres charges fixes</t>
  </si>
  <si>
    <t xml:space="preserve">TOTAL CHARGES FIXES</t>
  </si>
  <si>
    <t xml:space="preserve">Total charges fixes (masse + autres)</t>
  </si>
  <si>
    <t xml:space="preserve">COMPTE DE RÉSULTAT</t>
  </si>
  <si>
    <t xml:space="preserve">PRODUCTION DE L'EXERCICE</t>
  </si>
  <si>
    <t xml:space="preserve">Chiffre d'affaires</t>
  </si>
  <si>
    <t xml:space="preserve">Variation stock produits finis</t>
  </si>
  <si>
    <t xml:space="preserve">Production de l'exercice</t>
  </si>
  <si>
    <t xml:space="preserve">CONSOMMATIONS</t>
  </si>
  <si>
    <t xml:space="preserve">Consommation MP</t>
  </si>
  <si>
    <t xml:space="preserve">Énergie variable</t>
  </si>
  <si>
    <t xml:space="preserve">Consommables &amp; emballages</t>
  </si>
  <si>
    <t xml:space="preserve">Marge sur consommation MP</t>
  </si>
  <si>
    <t xml:space="preserve">CHARGES DE PERSONNEL</t>
  </si>
  <si>
    <t xml:space="preserve">MOD directe (variable)</t>
  </si>
  <si>
    <t xml:space="preserve">Encadrement + Support</t>
  </si>
  <si>
    <t xml:space="preserve">Total charges de personnel</t>
  </si>
  <si>
    <t xml:space="preserve">AUTRES CHARGES EXTERNES</t>
  </si>
  <si>
    <t xml:space="preserve">Autres charges fixes</t>
  </si>
  <si>
    <t xml:space="preserve">EBITDA &amp; EBIT</t>
  </si>
  <si>
    <t xml:space="preserve">EBITDA (Excédent brut d'exploitation)</t>
  </si>
  <si>
    <t xml:space="preserve">Dotations aux amortissements</t>
  </si>
  <si>
    <t xml:space="preserve">EBIT (Résultat d'exploitation)</t>
  </si>
  <si>
    <t xml:space="preserve">RÉSULTAT NET</t>
  </si>
  <si>
    <t xml:space="preserve">Charges financières (intérêts sur dette)</t>
  </si>
  <si>
    <t xml:space="preserve">Résultat avant impôt</t>
  </si>
  <si>
    <t xml:space="preserve">Impôt sur les sociétés</t>
  </si>
  <si>
    <t xml:space="preserve">INDICATEURS DE MARGE</t>
  </si>
  <si>
    <t xml:space="preserve">Marge EBITDA (%)</t>
  </si>
  <si>
    <t xml:space="preserve">Marge EBIT (%)</t>
  </si>
  <si>
    <t xml:space="preserve">Marge nette (%)</t>
  </si>
  <si>
    <t xml:space="preserve">BILAN — INDUSTRIE</t>
  </si>
  <si>
    <t xml:space="preserve">ACTIF (Md FCFA)</t>
  </si>
  <si>
    <t xml:space="preserve">Immobilisations nettes</t>
  </si>
  <si>
    <t xml:space="preserve">Stocks (MP + EC + PF)</t>
  </si>
  <si>
    <t xml:space="preserve">Créances clients (DSO)</t>
  </si>
  <si>
    <t xml:space="preserve">Trésorerie (équilibre)</t>
  </si>
  <si>
    <t xml:space="preserve">TOTAL ACTIF</t>
  </si>
  <si>
    <t xml:space="preserve">PASSIF (Md FCFA)</t>
  </si>
  <si>
    <t xml:space="preserve">Capital social</t>
  </si>
  <si>
    <t xml:space="preserve">Réserves cumulées</t>
  </si>
  <si>
    <t xml:space="preserve">Résultat de l'exercice</t>
  </si>
  <si>
    <t xml:space="preserve">Total capitaux propres</t>
  </si>
  <si>
    <t xml:space="preserve">Dette long terme</t>
  </si>
  <si>
    <t xml:space="preserve">Dettes fournisseurs (DPO)</t>
  </si>
  <si>
    <t xml:space="preserve">TOTAL PASSIF</t>
  </si>
  <si>
    <t xml:space="preserve">CONTRÔLE</t>
  </si>
  <si>
    <t xml:space="preserve">Écart actif - passif</t>
  </si>
  <si>
    <t xml:space="preserve">TRÉSORERIE, BFR &amp; KPIs INDUSTRIELS</t>
  </si>
  <si>
    <t xml:space="preserve">BFR — BESOIN EN FONDS DE ROULEMENT</t>
  </si>
  <si>
    <t xml:space="preserve">Stocks (Md FCFA)</t>
  </si>
  <si>
    <t xml:space="preserve">+ Créances clients (Md FCFA)</t>
  </si>
  <si>
    <t xml:space="preserve">- Dettes fournisseurs (Md FCFA)</t>
  </si>
  <si>
    <t xml:space="preserve">BFR (Md FCFA)</t>
  </si>
  <si>
    <t xml:space="preserve">BFR / CA (en jours)</t>
  </si>
  <si>
    <t xml:space="preserve">CASH-FLOW</t>
  </si>
  <si>
    <t xml:space="preserve">EBITDA</t>
  </si>
  <si>
    <t xml:space="preserve">- Variation BFR</t>
  </si>
  <si>
    <t xml:space="preserve">- CAPEX</t>
  </si>
  <si>
    <t xml:space="preserve">- IS</t>
  </si>
  <si>
    <t xml:space="preserve">Free Cash Flow</t>
  </si>
  <si>
    <t xml:space="preserve">KPIs INDUSTRIELS</t>
  </si>
  <si>
    <t xml:space="preserve">OEE</t>
  </si>
  <si>
    <t xml:space="preserve">Taux d'utilisation capacité</t>
  </si>
  <si>
    <t xml:space="preserve">Marge brute (%)</t>
  </si>
  <si>
    <t xml:space="preserve">ROCE (EBIT / Capitaux engagés)</t>
  </si>
  <si>
    <t xml:space="preserve">ROE</t>
  </si>
  <si>
    <t xml:space="preserve">Point mort CA (= charges fixes / taux MCV)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</si>
</sst>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;\(0.0%\);\-"/>
    <numFmt numFmtId="166" formatCode="#,##0_);\(#,##0\);\-_)"/>
    <numFmt numFmtId="167" formatCode="#,##0;\(#,##0\);\-"/>
    <numFmt numFmtId="168" formatCode="#,##0.0_);\(#,##0.0\);\-_)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2"/>
      <color rgb="FF0A2540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0A254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A2540"/>
        <bgColor rgb="FF003300"/>
      </patternFill>
    </fill>
    <fill>
      <patternFill patternType="solid">
        <fgColor rgb="FFC9A961"/>
        <bgColor rgb="FFBFBFBF"/>
      </patternFill>
    </fill>
    <fill>
      <patternFill patternType="solid">
        <fgColor rgb="FFFFFFCC"/>
        <bgColor rgb="FFFFFFFF"/>
      </patternFill>
    </fill>
    <fill>
      <patternFill patternType="solid">
        <fgColor rgb="FFD6E0EC"/>
        <bgColor rgb="FFCCFFFF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0A2540"/>
      </top>
      <bottom style="medium">
        <color rgb="FF0A254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C9A961"/>
      <rgbColor rgb="FF0A25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80"/>
  </cols>
  <sheetData>
    <row r="1" customFormat="false" ht="27.75" hidden="false" customHeight="tru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21.75" hidden="false" customHeight="true" outlineLevel="0" collapsed="false">
      <c r="A6" s="4" t="s">
        <v>3</v>
      </c>
      <c r="B6" s="4"/>
      <c r="C6" s="4"/>
    </row>
    <row r="7" customFormat="false" ht="42" hidden="false" customHeight="true" outlineLevel="0" collapsed="false">
      <c r="B7" s="5" t="s">
        <v>4</v>
      </c>
      <c r="C7" s="6" t="s">
        <v>5</v>
      </c>
    </row>
    <row r="8" customFormat="false" ht="42" hidden="false" customHeight="true" outlineLevel="0" collapsed="false">
      <c r="B8" s="5" t="s">
        <v>6</v>
      </c>
      <c r="C8" s="6" t="s">
        <v>7</v>
      </c>
    </row>
    <row r="9" customFormat="false" ht="42" hidden="false" customHeight="true" outlineLevel="0" collapsed="false">
      <c r="B9" s="5" t="s">
        <v>8</v>
      </c>
      <c r="C9" s="6" t="s">
        <v>9</v>
      </c>
    </row>
    <row r="11" customFormat="false" ht="21.75" hidden="false" customHeight="true" outlineLevel="0" collapsed="false">
      <c r="A11" s="4" t="s">
        <v>10</v>
      </c>
      <c r="B11" s="4"/>
      <c r="C11" s="4"/>
    </row>
    <row r="12" customFormat="false" ht="15" hidden="false" customHeight="false" outlineLevel="0" collapsed="false">
      <c r="B12" s="5" t="s">
        <v>11</v>
      </c>
      <c r="C12" s="7" t="s">
        <v>12</v>
      </c>
    </row>
    <row r="13" customFormat="false" ht="15" hidden="false" customHeight="false" outlineLevel="0" collapsed="false">
      <c r="B13" s="5" t="s">
        <v>13</v>
      </c>
      <c r="C13" s="7" t="s">
        <v>14</v>
      </c>
    </row>
    <row r="14" customFormat="false" ht="15" hidden="false" customHeight="false" outlineLevel="0" collapsed="false">
      <c r="B14" s="5" t="s">
        <v>15</v>
      </c>
      <c r="C14" s="7" t="s">
        <v>16</v>
      </c>
    </row>
    <row r="15" customFormat="false" ht="15" hidden="false" customHeight="false" outlineLevel="0" collapsed="false">
      <c r="B15" s="5" t="s">
        <v>17</v>
      </c>
      <c r="C15" s="7" t="s">
        <v>18</v>
      </c>
    </row>
    <row r="16" customFormat="false" ht="15" hidden="false" customHeight="false" outlineLevel="0" collapsed="false">
      <c r="B16" s="5" t="s">
        <v>19</v>
      </c>
      <c r="C16" s="7" t="s">
        <v>20</v>
      </c>
    </row>
    <row r="17" customFormat="false" ht="15" hidden="false" customHeight="false" outlineLevel="0" collapsed="false">
      <c r="B17" s="5" t="s">
        <v>21</v>
      </c>
      <c r="C17" s="7" t="s">
        <v>22</v>
      </c>
    </row>
    <row r="18" customFormat="false" ht="15" hidden="false" customHeight="false" outlineLevel="0" collapsed="false">
      <c r="B18" s="5" t="s">
        <v>23</v>
      </c>
      <c r="C18" s="7" t="s">
        <v>24</v>
      </c>
    </row>
    <row r="19" customFormat="false" ht="15" hidden="false" customHeight="false" outlineLevel="0" collapsed="false">
      <c r="B19" s="5" t="s">
        <v>25</v>
      </c>
      <c r="C19" s="7" t="s">
        <v>26</v>
      </c>
    </row>
    <row r="20" customFormat="false" ht="15" hidden="false" customHeight="false" outlineLevel="0" collapsed="false">
      <c r="B20" s="5" t="s">
        <v>27</v>
      </c>
      <c r="C20" s="7" t="s">
        <v>28</v>
      </c>
    </row>
    <row r="21" customFormat="false" ht="15" hidden="false" customHeight="false" outlineLevel="0" collapsed="false">
      <c r="B21" s="5" t="s">
        <v>29</v>
      </c>
      <c r="C21" s="7" t="s">
        <v>30</v>
      </c>
    </row>
    <row r="22" customFormat="false" ht="15" hidden="false" customHeight="false" outlineLevel="0" collapsed="false">
      <c r="B22" s="5" t="s">
        <v>31</v>
      </c>
      <c r="C22" s="7" t="s">
        <v>32</v>
      </c>
    </row>
    <row r="23" customFormat="false" ht="15" hidden="false" customHeight="false" outlineLevel="0" collapsed="false">
      <c r="B23" s="5" t="s">
        <v>33</v>
      </c>
      <c r="C23" s="7" t="s">
        <v>34</v>
      </c>
    </row>
    <row r="25" customFormat="false" ht="21.75" hidden="false" customHeight="true" outlineLevel="0" collapsed="false">
      <c r="A25" s="4" t="s">
        <v>35</v>
      </c>
      <c r="B25" s="4"/>
      <c r="C25" s="4"/>
    </row>
    <row r="26" customFormat="false" ht="15" hidden="false" customHeight="false" outlineLevel="0" collapsed="false">
      <c r="B26" s="5" t="s">
        <v>36</v>
      </c>
      <c r="C26" s="7" t="s">
        <v>37</v>
      </c>
    </row>
    <row r="27" customFormat="false" ht="15" hidden="false" customHeight="false" outlineLevel="0" collapsed="false">
      <c r="B27" s="5" t="s">
        <v>38</v>
      </c>
      <c r="C27" s="7" t="s">
        <v>39</v>
      </c>
    </row>
    <row r="28" customFormat="false" ht="15" hidden="false" customHeight="false" outlineLevel="0" collapsed="false">
      <c r="B28" s="5" t="s">
        <v>40</v>
      </c>
      <c r="C28" s="7" t="s">
        <v>41</v>
      </c>
    </row>
    <row r="29" customFormat="false" ht="15" hidden="false" customHeight="false" outlineLevel="0" collapsed="false">
      <c r="B29" s="5" t="s">
        <v>42</v>
      </c>
      <c r="C29" s="7" t="s">
        <v>43</v>
      </c>
    </row>
    <row r="30" customFormat="false" ht="15" hidden="false" customHeight="false" outlineLevel="0" collapsed="false">
      <c r="B30" s="5" t="s">
        <v>44</v>
      </c>
      <c r="C30" s="7" t="s">
        <v>45</v>
      </c>
    </row>
    <row r="31" customFormat="false" ht="15" hidden="false" customHeight="false" outlineLevel="0" collapsed="false">
      <c r="B31" s="5" t="s">
        <v>46</v>
      </c>
      <c r="C31" s="7" t="s">
        <v>47</v>
      </c>
    </row>
  </sheetData>
  <mergeCells count="4">
    <mergeCell ref="A1:C1"/>
    <mergeCell ref="A6:C6"/>
    <mergeCell ref="A11:C11"/>
    <mergeCell ref="A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32"/>
  </cols>
  <sheetData>
    <row r="1" customFormat="false" ht="27.75" hidden="false" customHeight="true" outlineLevel="0" collapsed="false">
      <c r="A1" s="1" t="s">
        <v>48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/>
      <c r="B3" s="9" t="s">
        <v>49</v>
      </c>
      <c r="C3" s="9" t="s">
        <v>50</v>
      </c>
      <c r="D3" s="9" t="s">
        <v>51</v>
      </c>
      <c r="E3" s="9" t="s">
        <v>52</v>
      </c>
      <c r="F3" s="9" t="s">
        <v>53</v>
      </c>
    </row>
    <row r="4" customFormat="false" ht="21.75" hidden="false" customHeight="true" outlineLevel="0" collapsed="false">
      <c r="A4" s="4" t="s">
        <v>54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0" t="s">
        <v>55</v>
      </c>
      <c r="B5" s="11" t="n">
        <v>0.03</v>
      </c>
      <c r="C5" s="11" t="n">
        <v>0.025</v>
      </c>
      <c r="D5" s="11" t="n">
        <v>0.025</v>
      </c>
      <c r="E5" s="11" t="n">
        <v>0.025</v>
      </c>
      <c r="F5" s="11" t="n">
        <v>0.025</v>
      </c>
      <c r="H5" s="3" t="s">
        <v>56</v>
      </c>
    </row>
    <row r="6" customFormat="false" ht="15" hidden="false" customHeight="false" outlineLevel="0" collapsed="false">
      <c r="A6" s="10" t="s">
        <v>57</v>
      </c>
      <c r="B6" s="11" t="n">
        <v>0.28</v>
      </c>
      <c r="C6" s="11" t="n">
        <v>0.28</v>
      </c>
      <c r="D6" s="11" t="n">
        <v>0.28</v>
      </c>
      <c r="E6" s="11" t="n">
        <v>0.28</v>
      </c>
      <c r="F6" s="11" t="n">
        <v>0.28</v>
      </c>
      <c r="H6" s="3" t="s">
        <v>58</v>
      </c>
    </row>
    <row r="7" customFormat="false" ht="15" hidden="false" customHeight="false" outlineLevel="0" collapsed="false">
      <c r="A7" s="10" t="s">
        <v>59</v>
      </c>
      <c r="B7" s="11" t="n">
        <v>0.18</v>
      </c>
      <c r="C7" s="11" t="n">
        <v>0.18</v>
      </c>
      <c r="D7" s="11" t="n">
        <v>0.18</v>
      </c>
      <c r="E7" s="11" t="n">
        <v>0.18</v>
      </c>
      <c r="F7" s="11" t="n">
        <v>0.18</v>
      </c>
      <c r="H7" s="3" t="s">
        <v>60</v>
      </c>
    </row>
    <row r="8" customFormat="false" ht="15" hidden="false" customHeight="false" outlineLevel="0" collapsed="false">
      <c r="A8" s="10" t="s">
        <v>61</v>
      </c>
      <c r="B8" s="11" t="n">
        <v>0.18</v>
      </c>
      <c r="C8" s="11" t="n">
        <v>0.18</v>
      </c>
      <c r="D8" s="11" t="n">
        <v>0.18</v>
      </c>
      <c r="E8" s="11" t="n">
        <v>0.18</v>
      </c>
      <c r="F8" s="11" t="n">
        <v>0.18</v>
      </c>
      <c r="H8" s="3"/>
    </row>
    <row r="9" customFormat="false" ht="15" hidden="false" customHeight="false" outlineLevel="0" collapsed="false">
      <c r="A9" s="10" t="s">
        <v>62</v>
      </c>
      <c r="B9" s="12" t="n">
        <v>600</v>
      </c>
      <c r="C9" s="12" t="n">
        <v>605</v>
      </c>
      <c r="D9" s="12" t="n">
        <v>610</v>
      </c>
      <c r="E9" s="12" t="n">
        <v>610</v>
      </c>
      <c r="F9" s="12" t="n">
        <v>610</v>
      </c>
      <c r="H9" s="3" t="s">
        <v>63</v>
      </c>
    </row>
    <row r="11" customFormat="false" ht="21.75" hidden="false" customHeight="true" outlineLevel="0" collapsed="false">
      <c r="A11" s="4" t="s">
        <v>64</v>
      </c>
      <c r="B11" s="4"/>
      <c r="C11" s="4"/>
      <c r="D11" s="4"/>
      <c r="E11" s="4"/>
      <c r="F11" s="4"/>
      <c r="G11" s="4"/>
      <c r="H11" s="4"/>
    </row>
    <row r="12" customFormat="false" ht="15" hidden="false" customHeight="false" outlineLevel="0" collapsed="false">
      <c r="A12" s="10" t="s">
        <v>65</v>
      </c>
      <c r="B12" s="13" t="n">
        <v>12</v>
      </c>
      <c r="C12" s="13" t="n">
        <v>14</v>
      </c>
      <c r="D12" s="13" t="n">
        <v>16.5</v>
      </c>
      <c r="E12" s="13" t="n">
        <v>19</v>
      </c>
      <c r="F12" s="13" t="n">
        <v>22</v>
      </c>
      <c r="H12" s="3" t="s">
        <v>66</v>
      </c>
    </row>
    <row r="13" customFormat="false" ht="15" hidden="false" customHeight="false" outlineLevel="0" collapsed="false">
      <c r="A13" s="10" t="s">
        <v>67</v>
      </c>
      <c r="B13" s="13" t="n">
        <v>8</v>
      </c>
      <c r="C13" s="13" t="n">
        <v>9</v>
      </c>
      <c r="D13" s="13" t="n">
        <v>10</v>
      </c>
      <c r="E13" s="13" t="n">
        <v>11</v>
      </c>
      <c r="F13" s="13" t="n">
        <v>12.5</v>
      </c>
      <c r="H13" s="3"/>
    </row>
    <row r="14" customFormat="false" ht="15" hidden="false" customHeight="false" outlineLevel="0" collapsed="false">
      <c r="A14" s="10" t="s">
        <v>68</v>
      </c>
      <c r="B14" s="13" t="n">
        <v>5</v>
      </c>
      <c r="C14" s="13" t="n">
        <v>5.5</v>
      </c>
      <c r="D14" s="13" t="n">
        <v>6</v>
      </c>
      <c r="E14" s="13" t="n">
        <v>6.5</v>
      </c>
      <c r="F14" s="13" t="n">
        <v>7</v>
      </c>
      <c r="H14" s="3"/>
    </row>
    <row r="15" customFormat="false" ht="15" hidden="false" customHeight="false" outlineLevel="0" collapsed="false">
      <c r="A15" s="10" t="s">
        <v>69</v>
      </c>
      <c r="B15" s="14" t="n">
        <v>850</v>
      </c>
      <c r="C15" s="14" t="n">
        <v>870</v>
      </c>
      <c r="D15" s="14" t="n">
        <v>890</v>
      </c>
      <c r="E15" s="14" t="n">
        <v>910</v>
      </c>
      <c r="F15" s="14" t="n">
        <v>930</v>
      </c>
      <c r="H15" s="3"/>
    </row>
    <row r="16" customFormat="false" ht="15" hidden="false" customHeight="false" outlineLevel="0" collapsed="false">
      <c r="A16" s="10" t="s">
        <v>70</v>
      </c>
      <c r="B16" s="14" t="n">
        <v>1100</v>
      </c>
      <c r="C16" s="14" t="n">
        <v>1130</v>
      </c>
      <c r="D16" s="14" t="n">
        <v>1160</v>
      </c>
      <c r="E16" s="14" t="n">
        <v>1190</v>
      </c>
      <c r="F16" s="14" t="n">
        <v>1220</v>
      </c>
      <c r="H16" s="3"/>
    </row>
    <row r="17" customFormat="false" ht="15" hidden="false" customHeight="false" outlineLevel="0" collapsed="false">
      <c r="A17" s="10" t="s">
        <v>71</v>
      </c>
      <c r="B17" s="14" t="n">
        <v>1500</v>
      </c>
      <c r="C17" s="14" t="n">
        <v>1540</v>
      </c>
      <c r="D17" s="14" t="n">
        <v>1580</v>
      </c>
      <c r="E17" s="14" t="n">
        <v>1620</v>
      </c>
      <c r="F17" s="14" t="n">
        <v>1660</v>
      </c>
      <c r="H17" s="3"/>
    </row>
    <row r="19" customFormat="false" ht="21.75" hidden="false" customHeight="true" outlineLevel="0" collapsed="false">
      <c r="A19" s="4" t="s">
        <v>72</v>
      </c>
      <c r="B19" s="4"/>
      <c r="C19" s="4"/>
      <c r="D19" s="4"/>
      <c r="E19" s="4"/>
      <c r="F19" s="4"/>
      <c r="G19" s="4"/>
      <c r="H19" s="4"/>
    </row>
    <row r="20" customFormat="false" ht="15" hidden="false" customHeight="false" outlineLevel="0" collapsed="false">
      <c r="A20" s="10" t="s">
        <v>73</v>
      </c>
      <c r="B20" s="13" t="n">
        <v>35</v>
      </c>
      <c r="C20" s="13" t="n">
        <v>35</v>
      </c>
      <c r="D20" s="13" t="n">
        <v>40</v>
      </c>
      <c r="E20" s="13" t="n">
        <v>45</v>
      </c>
      <c r="F20" s="13" t="n">
        <v>50</v>
      </c>
      <c r="H20" s="3" t="s">
        <v>74</v>
      </c>
    </row>
    <row r="21" customFormat="false" ht="15" hidden="false" customHeight="false" outlineLevel="0" collapsed="false">
      <c r="A21" s="10" t="s">
        <v>75</v>
      </c>
      <c r="B21" s="11" t="n">
        <v>0.65</v>
      </c>
      <c r="C21" s="11" t="n">
        <v>0.68</v>
      </c>
      <c r="D21" s="11" t="n">
        <v>0.72</v>
      </c>
      <c r="E21" s="11" t="n">
        <v>0.75</v>
      </c>
      <c r="F21" s="11" t="n">
        <v>0.78</v>
      </c>
      <c r="H21" s="3" t="s">
        <v>76</v>
      </c>
    </row>
    <row r="22" customFormat="false" ht="15" hidden="false" customHeight="false" outlineLevel="0" collapsed="false">
      <c r="A22" s="10" t="s">
        <v>77</v>
      </c>
      <c r="B22" s="11" t="n">
        <v>0.03</v>
      </c>
      <c r="C22" s="11" t="n">
        <v>0.025</v>
      </c>
      <c r="D22" s="11" t="n">
        <v>0.022</v>
      </c>
      <c r="E22" s="11" t="n">
        <v>0.02</v>
      </c>
      <c r="F22" s="11" t="n">
        <v>0.018</v>
      </c>
      <c r="H22" s="3" t="s">
        <v>78</v>
      </c>
    </row>
    <row r="24" customFormat="false" ht="21.75" hidden="false" customHeight="true" outlineLevel="0" collapsed="false">
      <c r="A24" s="4" t="s">
        <v>79</v>
      </c>
      <c r="B24" s="4"/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A25" s="10" t="s">
        <v>80</v>
      </c>
      <c r="B25" s="14" t="n">
        <v>350</v>
      </c>
      <c r="C25" s="14" t="n">
        <v>360</v>
      </c>
      <c r="D25" s="14" t="n">
        <v>370</v>
      </c>
      <c r="E25" s="14" t="n">
        <v>380</v>
      </c>
      <c r="F25" s="14" t="n">
        <v>390</v>
      </c>
      <c r="H25" s="3"/>
    </row>
    <row r="26" customFormat="false" ht="15" hidden="false" customHeight="false" outlineLevel="0" collapsed="false">
      <c r="A26" s="10" t="s">
        <v>81</v>
      </c>
      <c r="B26" s="14" t="n">
        <v>450</v>
      </c>
      <c r="C26" s="14" t="n">
        <v>465</v>
      </c>
      <c r="D26" s="14" t="n">
        <v>480</v>
      </c>
      <c r="E26" s="14" t="n">
        <v>495</v>
      </c>
      <c r="F26" s="14" t="n">
        <v>510</v>
      </c>
      <c r="H26" s="3"/>
    </row>
    <row r="27" customFormat="false" ht="15" hidden="false" customHeight="false" outlineLevel="0" collapsed="false">
      <c r="A27" s="10" t="s">
        <v>82</v>
      </c>
      <c r="B27" s="14" t="n">
        <v>620</v>
      </c>
      <c r="C27" s="14" t="n">
        <v>640</v>
      </c>
      <c r="D27" s="14" t="n">
        <v>660</v>
      </c>
      <c r="E27" s="14" t="n">
        <v>680</v>
      </c>
      <c r="F27" s="14" t="n">
        <v>700</v>
      </c>
      <c r="H27" s="3"/>
    </row>
    <row r="28" customFormat="false" ht="15" hidden="false" customHeight="false" outlineLevel="0" collapsed="false">
      <c r="A28" s="10" t="s">
        <v>83</v>
      </c>
      <c r="B28" s="14" t="n">
        <v>85</v>
      </c>
      <c r="C28" s="14" t="n">
        <v>87</v>
      </c>
      <c r="D28" s="14" t="n">
        <v>89</v>
      </c>
      <c r="E28" s="14" t="n">
        <v>91</v>
      </c>
      <c r="F28" s="14" t="n">
        <v>93</v>
      </c>
      <c r="H28" s="3"/>
    </row>
    <row r="29" customFormat="false" ht="15" hidden="false" customHeight="false" outlineLevel="0" collapsed="false">
      <c r="A29" s="10" t="s">
        <v>84</v>
      </c>
      <c r="B29" s="14" t="n">
        <v>45</v>
      </c>
      <c r="C29" s="14" t="n">
        <v>47</v>
      </c>
      <c r="D29" s="14" t="n">
        <v>48</v>
      </c>
      <c r="E29" s="14" t="n">
        <v>50</v>
      </c>
      <c r="F29" s="14" t="n">
        <v>52</v>
      </c>
      <c r="H29" s="3"/>
    </row>
    <row r="30" customFormat="false" ht="15" hidden="false" customHeight="false" outlineLevel="0" collapsed="false">
      <c r="A30" s="10" t="s">
        <v>85</v>
      </c>
      <c r="B30" s="14" t="n">
        <v>25</v>
      </c>
      <c r="C30" s="14" t="n">
        <v>26</v>
      </c>
      <c r="D30" s="14" t="n">
        <v>27</v>
      </c>
      <c r="E30" s="14" t="n">
        <v>28</v>
      </c>
      <c r="F30" s="14" t="n">
        <v>29</v>
      </c>
      <c r="H30" s="3"/>
    </row>
    <row r="32" customFormat="false" ht="21.75" hidden="false" customHeight="true" outlineLevel="0" collapsed="false">
      <c r="A32" s="4" t="s">
        <v>86</v>
      </c>
      <c r="B32" s="4"/>
      <c r="C32" s="4"/>
      <c r="D32" s="4"/>
      <c r="E32" s="4"/>
      <c r="F32" s="4"/>
      <c r="G32" s="4"/>
      <c r="H32" s="4"/>
    </row>
    <row r="33" customFormat="false" ht="15" hidden="false" customHeight="false" outlineLevel="0" collapsed="false">
      <c r="A33" s="10" t="s">
        <v>87</v>
      </c>
      <c r="B33" s="13" t="n">
        <v>45</v>
      </c>
      <c r="C33" s="13" t="n">
        <v>40</v>
      </c>
      <c r="D33" s="13" t="n">
        <v>38</v>
      </c>
      <c r="E33" s="13" t="n">
        <v>35</v>
      </c>
      <c r="F33" s="13" t="n">
        <v>35</v>
      </c>
      <c r="H33" s="3" t="s">
        <v>88</v>
      </c>
    </row>
    <row r="34" customFormat="false" ht="15" hidden="false" customHeight="false" outlineLevel="0" collapsed="false">
      <c r="A34" s="10" t="s">
        <v>89</v>
      </c>
      <c r="B34" s="13" t="n">
        <v>10</v>
      </c>
      <c r="C34" s="13" t="n">
        <v>10</v>
      </c>
      <c r="D34" s="13" t="n">
        <v>9</v>
      </c>
      <c r="E34" s="13" t="n">
        <v>8</v>
      </c>
      <c r="F34" s="13" t="n">
        <v>8</v>
      </c>
      <c r="H34" s="3"/>
    </row>
    <row r="35" customFormat="false" ht="15" hidden="false" customHeight="false" outlineLevel="0" collapsed="false">
      <c r="A35" s="10" t="s">
        <v>90</v>
      </c>
      <c r="B35" s="13" t="n">
        <v>30</v>
      </c>
      <c r="C35" s="13" t="n">
        <v>28</v>
      </c>
      <c r="D35" s="13" t="n">
        <v>25</v>
      </c>
      <c r="E35" s="13" t="n">
        <v>23</v>
      </c>
      <c r="F35" s="13" t="n">
        <v>22</v>
      </c>
      <c r="H35" s="3"/>
    </row>
    <row r="36" customFormat="false" ht="15" hidden="false" customHeight="false" outlineLevel="0" collapsed="false">
      <c r="A36" s="10" t="s">
        <v>91</v>
      </c>
      <c r="B36" s="13" t="n">
        <v>60</v>
      </c>
      <c r="C36" s="13" t="n">
        <v>55</v>
      </c>
      <c r="D36" s="13" t="n">
        <v>50</v>
      </c>
      <c r="E36" s="13" t="n">
        <v>48</v>
      </c>
      <c r="F36" s="13" t="n">
        <v>45</v>
      </c>
      <c r="H36" s="3" t="s">
        <v>92</v>
      </c>
    </row>
    <row r="37" customFormat="false" ht="15" hidden="false" customHeight="false" outlineLevel="0" collapsed="false">
      <c r="A37" s="10" t="s">
        <v>93</v>
      </c>
      <c r="B37" s="13" t="n">
        <v>45</v>
      </c>
      <c r="C37" s="13" t="n">
        <v>45</v>
      </c>
      <c r="D37" s="13" t="n">
        <v>45</v>
      </c>
      <c r="E37" s="13" t="n">
        <v>45</v>
      </c>
      <c r="F37" s="13" t="n">
        <v>45</v>
      </c>
      <c r="H37" s="3"/>
    </row>
    <row r="39" customFormat="false" ht="21.75" hidden="false" customHeight="true" outlineLevel="0" collapsed="false">
      <c r="A39" s="4" t="s">
        <v>94</v>
      </c>
      <c r="B39" s="4"/>
      <c r="C39" s="4"/>
      <c r="D39" s="4"/>
      <c r="E39" s="4"/>
      <c r="F39" s="4"/>
      <c r="G39" s="4"/>
      <c r="H39" s="4"/>
    </row>
    <row r="40" customFormat="false" ht="15" hidden="false" customHeight="false" outlineLevel="0" collapsed="false">
      <c r="A40" s="10" t="s">
        <v>95</v>
      </c>
      <c r="B40" s="13" t="n">
        <v>85</v>
      </c>
      <c r="C40" s="13" t="n">
        <v>92</v>
      </c>
      <c r="D40" s="13" t="n">
        <v>100</v>
      </c>
      <c r="E40" s="13" t="n">
        <v>108</v>
      </c>
      <c r="F40" s="13" t="n">
        <v>115</v>
      </c>
      <c r="H40" s="3" t="s">
        <v>15</v>
      </c>
    </row>
    <row r="41" customFormat="false" ht="15" hidden="false" customHeight="false" outlineLevel="0" collapsed="false">
      <c r="A41" s="10" t="s">
        <v>96</v>
      </c>
      <c r="B41" s="13" t="n">
        <v>25</v>
      </c>
      <c r="C41" s="13" t="n">
        <v>28</v>
      </c>
      <c r="D41" s="13" t="n">
        <v>30</v>
      </c>
      <c r="E41" s="13" t="n">
        <v>32</v>
      </c>
      <c r="F41" s="13" t="n">
        <v>35</v>
      </c>
      <c r="H41" s="3"/>
    </row>
    <row r="42" customFormat="false" ht="15" hidden="false" customHeight="false" outlineLevel="0" collapsed="false">
      <c r="A42" s="10" t="s">
        <v>97</v>
      </c>
      <c r="B42" s="13" t="n">
        <v>40</v>
      </c>
      <c r="C42" s="13" t="n">
        <v>42</v>
      </c>
      <c r="D42" s="13" t="n">
        <v>45</v>
      </c>
      <c r="E42" s="13" t="n">
        <v>48</v>
      </c>
      <c r="F42" s="13" t="n">
        <v>50</v>
      </c>
      <c r="H42" s="3"/>
    </row>
    <row r="43" customFormat="false" ht="15" hidden="false" customHeight="false" outlineLevel="0" collapsed="false">
      <c r="A43" s="10" t="s">
        <v>98</v>
      </c>
      <c r="B43" s="14" t="n">
        <v>2.5</v>
      </c>
      <c r="C43" s="14" t="n">
        <v>2.6</v>
      </c>
      <c r="D43" s="14" t="n">
        <v>2.7</v>
      </c>
      <c r="E43" s="14" t="n">
        <v>2.8</v>
      </c>
      <c r="F43" s="14" t="n">
        <v>2.9</v>
      </c>
      <c r="H43" s="3"/>
    </row>
    <row r="44" customFormat="false" ht="15" hidden="false" customHeight="false" outlineLevel="0" collapsed="false">
      <c r="A44" s="10" t="s">
        <v>99</v>
      </c>
      <c r="B44" s="14" t="n">
        <v>5.5</v>
      </c>
      <c r="C44" s="14" t="n">
        <v>5.7</v>
      </c>
      <c r="D44" s="14" t="n">
        <v>5.9</v>
      </c>
      <c r="E44" s="14" t="n">
        <v>6.1</v>
      </c>
      <c r="F44" s="14" t="n">
        <v>6.3</v>
      </c>
      <c r="H44" s="3"/>
    </row>
    <row r="45" customFormat="false" ht="15" hidden="false" customHeight="false" outlineLevel="0" collapsed="false">
      <c r="A45" s="10" t="s">
        <v>100</v>
      </c>
      <c r="B45" s="14" t="n">
        <v>4</v>
      </c>
      <c r="C45" s="14" t="n">
        <v>4.2</v>
      </c>
      <c r="D45" s="14" t="n">
        <v>4.4</v>
      </c>
      <c r="E45" s="14" t="n">
        <v>4.6</v>
      </c>
      <c r="F45" s="14" t="n">
        <v>4.8</v>
      </c>
      <c r="H45" s="3"/>
    </row>
    <row r="47" customFormat="false" ht="21.75" hidden="false" customHeight="true" outlineLevel="0" collapsed="false">
      <c r="A47" s="4" t="s">
        <v>101</v>
      </c>
      <c r="B47" s="4"/>
      <c r="C47" s="4"/>
      <c r="D47" s="4"/>
      <c r="E47" s="4"/>
      <c r="F47" s="4"/>
      <c r="G47" s="4"/>
      <c r="H47" s="4"/>
    </row>
    <row r="48" customFormat="false" ht="15" hidden="false" customHeight="false" outlineLevel="0" collapsed="false">
      <c r="A48" s="10" t="s">
        <v>102</v>
      </c>
      <c r="B48" s="14" t="n">
        <v>0.8</v>
      </c>
      <c r="C48" s="14" t="n">
        <v>0.9</v>
      </c>
      <c r="D48" s="14" t="n">
        <v>1</v>
      </c>
      <c r="E48" s="14" t="n">
        <v>1.1</v>
      </c>
      <c r="F48" s="14" t="n">
        <v>1.2</v>
      </c>
      <c r="H48" s="3"/>
    </row>
    <row r="49" customFormat="false" ht="15" hidden="false" customHeight="false" outlineLevel="0" collapsed="false">
      <c r="A49" s="10" t="s">
        <v>103</v>
      </c>
      <c r="B49" s="14" t="n">
        <v>1.5</v>
      </c>
      <c r="C49" s="14" t="n">
        <v>1.6</v>
      </c>
      <c r="D49" s="14" t="n">
        <v>1.8</v>
      </c>
      <c r="E49" s="14" t="n">
        <v>2</v>
      </c>
      <c r="F49" s="14" t="n">
        <v>2.2</v>
      </c>
      <c r="H49" s="3"/>
    </row>
    <row r="50" customFormat="false" ht="15" hidden="false" customHeight="false" outlineLevel="0" collapsed="false">
      <c r="A50" s="10" t="s">
        <v>104</v>
      </c>
      <c r="B50" s="14" t="n">
        <v>0.6</v>
      </c>
      <c r="C50" s="14" t="n">
        <v>0.65</v>
      </c>
      <c r="D50" s="14" t="n">
        <v>0.7</v>
      </c>
      <c r="E50" s="14" t="n">
        <v>0.75</v>
      </c>
      <c r="F50" s="14" t="n">
        <v>0.8</v>
      </c>
      <c r="H50" s="3"/>
    </row>
    <row r="51" customFormat="false" ht="15" hidden="false" customHeight="false" outlineLevel="0" collapsed="false">
      <c r="A51" s="10" t="s">
        <v>105</v>
      </c>
      <c r="B51" s="14" t="n">
        <v>0.4</v>
      </c>
      <c r="C51" s="14" t="n">
        <v>0.45</v>
      </c>
      <c r="D51" s="14" t="n">
        <v>0.5</v>
      </c>
      <c r="E51" s="14" t="n">
        <v>0.55</v>
      </c>
      <c r="F51" s="14" t="n">
        <v>0.6</v>
      </c>
      <c r="H51" s="3"/>
    </row>
    <row r="52" customFormat="false" ht="15" hidden="false" customHeight="false" outlineLevel="0" collapsed="false">
      <c r="A52" s="10" t="s">
        <v>106</v>
      </c>
      <c r="B52" s="14" t="n">
        <v>0.7</v>
      </c>
      <c r="C52" s="14" t="n">
        <v>0.8</v>
      </c>
      <c r="D52" s="14" t="n">
        <v>0.9</v>
      </c>
      <c r="E52" s="14" t="n">
        <v>1</v>
      </c>
      <c r="F52" s="14" t="n">
        <v>1.1</v>
      </c>
      <c r="H52" s="3"/>
    </row>
    <row r="53" customFormat="false" ht="15" hidden="false" customHeight="false" outlineLevel="0" collapsed="false">
      <c r="A53" s="10" t="s">
        <v>107</v>
      </c>
      <c r="B53" s="14" t="n">
        <v>0.3</v>
      </c>
      <c r="C53" s="14" t="n">
        <v>0.32</v>
      </c>
      <c r="D53" s="14" t="n">
        <v>0.34</v>
      </c>
      <c r="E53" s="14" t="n">
        <v>0.36</v>
      </c>
      <c r="F53" s="14" t="n">
        <v>0.38</v>
      </c>
      <c r="H53" s="3"/>
    </row>
    <row r="54" customFormat="false" ht="15" hidden="false" customHeight="false" outlineLevel="0" collapsed="false">
      <c r="A54" s="10" t="s">
        <v>108</v>
      </c>
      <c r="B54" s="14" t="n">
        <v>0.5</v>
      </c>
      <c r="C54" s="14" t="n">
        <v>0.55</v>
      </c>
      <c r="D54" s="14" t="n">
        <v>0.6</v>
      </c>
      <c r="E54" s="14" t="n">
        <v>0.65</v>
      </c>
      <c r="F54" s="14" t="n">
        <v>0.7</v>
      </c>
      <c r="H54" s="3"/>
    </row>
    <row r="56" customFormat="false" ht="21.75" hidden="false" customHeight="true" outlineLevel="0" collapsed="false">
      <c r="A56" s="4" t="s">
        <v>109</v>
      </c>
      <c r="B56" s="4"/>
      <c r="C56" s="4"/>
      <c r="D56" s="4"/>
      <c r="E56" s="4"/>
      <c r="F56" s="4"/>
      <c r="G56" s="4"/>
      <c r="H56" s="4"/>
    </row>
    <row r="57" customFormat="false" ht="15" hidden="false" customHeight="false" outlineLevel="0" collapsed="false">
      <c r="A57" s="10" t="s">
        <v>110</v>
      </c>
      <c r="B57" s="14" t="n">
        <v>25</v>
      </c>
      <c r="C57" s="14" t="n">
        <v>25</v>
      </c>
      <c r="D57" s="14" t="n">
        <v>25</v>
      </c>
      <c r="E57" s="14" t="n">
        <v>25</v>
      </c>
      <c r="F57" s="14" t="n">
        <v>25</v>
      </c>
      <c r="H57" s="3"/>
    </row>
    <row r="58" customFormat="false" ht="15" hidden="false" customHeight="false" outlineLevel="0" collapsed="false">
      <c r="A58" s="10" t="s">
        <v>111</v>
      </c>
      <c r="B58" s="14" t="n">
        <v>2</v>
      </c>
      <c r="C58" s="14" t="n">
        <v>3.5</v>
      </c>
      <c r="D58" s="14" t="n">
        <v>5</v>
      </c>
      <c r="E58" s="14" t="n">
        <v>4</v>
      </c>
      <c r="F58" s="14" t="n">
        <v>3</v>
      </c>
      <c r="H58" s="3" t="s">
        <v>112</v>
      </c>
    </row>
    <row r="59" customFormat="false" ht="15" hidden="false" customHeight="false" outlineLevel="0" collapsed="false">
      <c r="A59" s="10" t="s">
        <v>113</v>
      </c>
      <c r="B59" s="13" t="n">
        <v>10</v>
      </c>
      <c r="C59" s="13" t="n">
        <v>10</v>
      </c>
      <c r="D59" s="13" t="n">
        <v>10</v>
      </c>
      <c r="E59" s="13" t="n">
        <v>10</v>
      </c>
      <c r="F59" s="13" t="n">
        <v>10</v>
      </c>
      <c r="H59" s="3"/>
    </row>
    <row r="60" customFormat="false" ht="15" hidden="false" customHeight="false" outlineLevel="0" collapsed="false">
      <c r="A60" s="10" t="s">
        <v>114</v>
      </c>
      <c r="B60" s="14" t="n">
        <v>12</v>
      </c>
      <c r="C60" s="14" t="n">
        <v>12</v>
      </c>
      <c r="D60" s="14" t="n">
        <v>12</v>
      </c>
      <c r="E60" s="14" t="n">
        <v>18</v>
      </c>
      <c r="F60" s="14" t="n">
        <v>18</v>
      </c>
      <c r="H60" s="3" t="s">
        <v>115</v>
      </c>
    </row>
    <row r="61" customFormat="false" ht="15" hidden="false" customHeight="false" outlineLevel="0" collapsed="false">
      <c r="A61" s="10" t="s">
        <v>116</v>
      </c>
      <c r="B61" s="14" t="n">
        <v>8</v>
      </c>
      <c r="C61" s="14" t="n">
        <v>7</v>
      </c>
      <c r="D61" s="14" t="n">
        <v>6</v>
      </c>
      <c r="E61" s="14" t="n">
        <v>5</v>
      </c>
      <c r="F61" s="14" t="n">
        <v>4</v>
      </c>
      <c r="H61" s="3"/>
    </row>
    <row r="62" customFormat="false" ht="15" hidden="false" customHeight="false" outlineLevel="0" collapsed="false">
      <c r="A62" s="10" t="s">
        <v>117</v>
      </c>
      <c r="B62" s="11" t="n">
        <v>0.075</v>
      </c>
      <c r="C62" s="11" t="n">
        <v>0.075</v>
      </c>
      <c r="D62" s="11" t="n">
        <v>0.07</v>
      </c>
      <c r="E62" s="11" t="n">
        <v>0.07</v>
      </c>
      <c r="F62" s="11" t="n">
        <v>0.07</v>
      </c>
      <c r="H62" s="3"/>
    </row>
    <row r="63" customFormat="false" ht="15" hidden="false" customHeight="false" outlineLevel="0" collapsed="false">
      <c r="A63" s="10" t="s">
        <v>118</v>
      </c>
      <c r="B63" s="11" t="n">
        <v>0.3</v>
      </c>
      <c r="C63" s="11" t="n">
        <v>0.35</v>
      </c>
      <c r="D63" s="11" t="n">
        <v>0.4</v>
      </c>
      <c r="E63" s="11" t="n">
        <v>0.4</v>
      </c>
      <c r="F63" s="11" t="n">
        <v>0.45</v>
      </c>
      <c r="H63" s="3"/>
    </row>
  </sheetData>
  <mergeCells count="9">
    <mergeCell ref="A1:H1"/>
    <mergeCell ref="A4:H4"/>
    <mergeCell ref="A11:H11"/>
    <mergeCell ref="A19:H19"/>
    <mergeCell ref="A24:H24"/>
    <mergeCell ref="A32:H32"/>
    <mergeCell ref="A39:H39"/>
    <mergeCell ref="A47:H47"/>
    <mergeCell ref="A56:H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119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/>
      <c r="B3" s="9" t="s">
        <v>49</v>
      </c>
      <c r="C3" s="9" t="s">
        <v>50</v>
      </c>
      <c r="D3" s="9" t="s">
        <v>51</v>
      </c>
      <c r="E3" s="9" t="s">
        <v>52</v>
      </c>
      <c r="F3" s="9" t="s">
        <v>53</v>
      </c>
    </row>
    <row r="4" customFormat="false" ht="21.75" hidden="false" customHeight="true" outlineLevel="0" collapsed="false">
      <c r="A4" s="4" t="s">
        <v>120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0" t="s">
        <v>121</v>
      </c>
      <c r="B5" s="15" t="n">
        <f aca="false">Hypothèses!B12</f>
        <v>12</v>
      </c>
      <c r="C5" s="15" t="n">
        <f aca="false">Hypothèses!C12</f>
        <v>14</v>
      </c>
      <c r="D5" s="15" t="n">
        <f aca="false">Hypothèses!D12</f>
        <v>16.5</v>
      </c>
      <c r="E5" s="15" t="n">
        <f aca="false">Hypothèses!E12</f>
        <v>19</v>
      </c>
      <c r="F5" s="15" t="n">
        <f aca="false">Hypothèses!F12</f>
        <v>22</v>
      </c>
    </row>
    <row r="6" customFormat="false" ht="15" hidden="false" customHeight="false" outlineLevel="0" collapsed="false">
      <c r="A6" s="10" t="s">
        <v>122</v>
      </c>
      <c r="B6" s="15" t="n">
        <f aca="false">Hypothèses!B13</f>
        <v>8</v>
      </c>
      <c r="C6" s="15" t="n">
        <f aca="false">Hypothèses!C13</f>
        <v>9</v>
      </c>
      <c r="D6" s="15" t="n">
        <f aca="false">Hypothèses!D13</f>
        <v>10</v>
      </c>
      <c r="E6" s="15" t="n">
        <f aca="false">Hypothèses!E13</f>
        <v>11</v>
      </c>
      <c r="F6" s="15" t="n">
        <f aca="false">Hypothèses!F13</f>
        <v>12.5</v>
      </c>
    </row>
    <row r="7" customFormat="false" ht="15" hidden="false" customHeight="false" outlineLevel="0" collapsed="false">
      <c r="A7" s="10" t="s">
        <v>123</v>
      </c>
      <c r="B7" s="15" t="n">
        <f aca="false">Hypothèses!B14</f>
        <v>5</v>
      </c>
      <c r="C7" s="15" t="n">
        <f aca="false">Hypothèses!C14</f>
        <v>5.5</v>
      </c>
      <c r="D7" s="15" t="n">
        <f aca="false">Hypothèses!D14</f>
        <v>6</v>
      </c>
      <c r="E7" s="15" t="n">
        <f aca="false">Hypothèses!E14</f>
        <v>6.5</v>
      </c>
      <c r="F7" s="15" t="n">
        <f aca="false">Hypothèses!F14</f>
        <v>7</v>
      </c>
    </row>
    <row r="8" customFormat="false" ht="15" hidden="false" customHeight="false" outlineLevel="0" collapsed="false">
      <c r="A8" s="16" t="s">
        <v>124</v>
      </c>
      <c r="B8" s="17" t="n">
        <f aca="false">B5+B6+B7</f>
        <v>25</v>
      </c>
      <c r="C8" s="17" t="n">
        <f aca="false">C5+C6+C7</f>
        <v>28.5</v>
      </c>
      <c r="D8" s="17" t="n">
        <f aca="false">D5+D6+D7</f>
        <v>32.5</v>
      </c>
      <c r="E8" s="17" t="n">
        <f aca="false">E5+E6+E7</f>
        <v>36.5</v>
      </c>
      <c r="F8" s="17" t="n">
        <f aca="false">F5+F6+F7</f>
        <v>41.5</v>
      </c>
    </row>
    <row r="10" customFormat="false" ht="21.75" hidden="false" customHeight="true" outlineLevel="0" collapsed="false">
      <c r="A10" s="4" t="s">
        <v>125</v>
      </c>
      <c r="B10" s="4"/>
      <c r="C10" s="4"/>
      <c r="D10" s="4"/>
      <c r="E10" s="4"/>
      <c r="F10" s="4"/>
      <c r="G10" s="4"/>
      <c r="H10" s="4"/>
    </row>
    <row r="11" customFormat="false" ht="15" hidden="false" customHeight="false" outlineLevel="0" collapsed="false">
      <c r="A11" s="10" t="s">
        <v>121</v>
      </c>
      <c r="B11" s="18" t="n">
        <f aca="false">Hypothèses!B15</f>
        <v>850</v>
      </c>
      <c r="C11" s="18" t="n">
        <f aca="false">Hypothèses!C15</f>
        <v>870</v>
      </c>
      <c r="D11" s="18" t="n">
        <f aca="false">Hypothèses!D15</f>
        <v>890</v>
      </c>
      <c r="E11" s="18" t="n">
        <f aca="false">Hypothèses!E15</f>
        <v>910</v>
      </c>
      <c r="F11" s="18" t="n">
        <f aca="false">Hypothèses!F15</f>
        <v>930</v>
      </c>
    </row>
    <row r="12" customFormat="false" ht="15" hidden="false" customHeight="false" outlineLevel="0" collapsed="false">
      <c r="A12" s="10" t="s">
        <v>122</v>
      </c>
      <c r="B12" s="18" t="n">
        <f aca="false">Hypothèses!B16</f>
        <v>1100</v>
      </c>
      <c r="C12" s="18" t="n">
        <f aca="false">Hypothèses!C16</f>
        <v>1130</v>
      </c>
      <c r="D12" s="18" t="n">
        <f aca="false">Hypothèses!D16</f>
        <v>1160</v>
      </c>
      <c r="E12" s="18" t="n">
        <f aca="false">Hypothèses!E16</f>
        <v>1190</v>
      </c>
      <c r="F12" s="18" t="n">
        <f aca="false">Hypothèses!F16</f>
        <v>1220</v>
      </c>
    </row>
    <row r="13" customFormat="false" ht="15" hidden="false" customHeight="false" outlineLevel="0" collapsed="false">
      <c r="A13" s="10" t="s">
        <v>123</v>
      </c>
      <c r="B13" s="18" t="n">
        <f aca="false">Hypothèses!B17</f>
        <v>1500</v>
      </c>
      <c r="C13" s="18" t="n">
        <f aca="false">Hypothèses!C17</f>
        <v>1540</v>
      </c>
      <c r="D13" s="18" t="n">
        <f aca="false">Hypothèses!D17</f>
        <v>1580</v>
      </c>
      <c r="E13" s="18" t="n">
        <f aca="false">Hypothèses!E17</f>
        <v>1620</v>
      </c>
      <c r="F13" s="18" t="n">
        <f aca="false">Hypothèses!F17</f>
        <v>1660</v>
      </c>
    </row>
    <row r="15" customFormat="false" ht="21.75" hidden="false" customHeight="true" outlineLevel="0" collapsed="false">
      <c r="A15" s="4" t="s">
        <v>126</v>
      </c>
      <c r="B15" s="4"/>
      <c r="C15" s="4"/>
      <c r="D15" s="4"/>
      <c r="E15" s="4"/>
      <c r="F15" s="4"/>
      <c r="G15" s="4"/>
      <c r="H15" s="4"/>
    </row>
    <row r="16" customFormat="false" ht="15" hidden="false" customHeight="false" outlineLevel="0" collapsed="false">
      <c r="A16" s="10" t="s">
        <v>127</v>
      </c>
      <c r="B16" s="19" t="n">
        <f aca="false">B5*B11/1000</f>
        <v>10.2</v>
      </c>
      <c r="C16" s="19" t="n">
        <f aca="false">C5*C11/1000</f>
        <v>12.18</v>
      </c>
      <c r="D16" s="19" t="n">
        <f aca="false">D5*D11/1000</f>
        <v>14.685</v>
      </c>
      <c r="E16" s="19" t="n">
        <f aca="false">E5*E11/1000</f>
        <v>17.29</v>
      </c>
      <c r="F16" s="19" t="n">
        <f aca="false">F5*F11/1000</f>
        <v>20.46</v>
      </c>
    </row>
    <row r="17" customFormat="false" ht="15" hidden="false" customHeight="false" outlineLevel="0" collapsed="false">
      <c r="A17" s="10" t="s">
        <v>128</v>
      </c>
      <c r="B17" s="19" t="n">
        <f aca="false">B6*B12/1000</f>
        <v>8.8</v>
      </c>
      <c r="C17" s="19" t="n">
        <f aca="false">C6*C12/1000</f>
        <v>10.17</v>
      </c>
      <c r="D17" s="19" t="n">
        <f aca="false">D6*D12/1000</f>
        <v>11.6</v>
      </c>
      <c r="E17" s="19" t="n">
        <f aca="false">E6*E12/1000</f>
        <v>13.09</v>
      </c>
      <c r="F17" s="19" t="n">
        <f aca="false">F6*F12/1000</f>
        <v>15.25</v>
      </c>
    </row>
    <row r="18" customFormat="false" ht="15" hidden="false" customHeight="false" outlineLevel="0" collapsed="false">
      <c r="A18" s="10" t="s">
        <v>129</v>
      </c>
      <c r="B18" s="19" t="n">
        <f aca="false">B7*B13/1000</f>
        <v>7.5</v>
      </c>
      <c r="C18" s="19" t="n">
        <f aca="false">C7*C13/1000</f>
        <v>8.47</v>
      </c>
      <c r="D18" s="19" t="n">
        <f aca="false">D7*D13/1000</f>
        <v>9.48</v>
      </c>
      <c r="E18" s="19" t="n">
        <f aca="false">E7*E13/1000</f>
        <v>10.53</v>
      </c>
      <c r="F18" s="19" t="n">
        <f aca="false">F7*F13/1000</f>
        <v>11.62</v>
      </c>
    </row>
    <row r="19" customFormat="false" ht="15" hidden="false" customHeight="false" outlineLevel="0" collapsed="false">
      <c r="A19" s="16" t="s">
        <v>130</v>
      </c>
      <c r="B19" s="20" t="n">
        <f aca="false">B16+B17+B18</f>
        <v>26.5</v>
      </c>
      <c r="C19" s="20" t="n">
        <f aca="false">C16+C17+C18</f>
        <v>30.82</v>
      </c>
      <c r="D19" s="20" t="n">
        <f aca="false">D16+D17+D18</f>
        <v>35.765</v>
      </c>
      <c r="E19" s="20" t="n">
        <f aca="false">E16+E17+E18</f>
        <v>40.91</v>
      </c>
      <c r="F19" s="20" t="n">
        <f aca="false">F16+F17+F18</f>
        <v>47.33</v>
      </c>
    </row>
    <row r="21" customFormat="false" ht="21.75" hidden="false" customHeight="true" outlineLevel="0" collapsed="false">
      <c r="A21" s="4" t="s">
        <v>131</v>
      </c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10" t="s">
        <v>132</v>
      </c>
      <c r="B22" s="19" t="n">
        <f aca="false">IFERROR(B19*1000/B8,0)</f>
        <v>1060</v>
      </c>
      <c r="C22" s="19" t="n">
        <f aca="false">IFERROR(C19*1000/C8,0)</f>
        <v>1081.40350877193</v>
      </c>
      <c r="D22" s="19" t="n">
        <f aca="false">IFERROR(D19*1000/D8,0)</f>
        <v>1100.46153846154</v>
      </c>
      <c r="E22" s="19" t="n">
        <f aca="false">IFERROR(E19*1000/E8,0)</f>
        <v>1120.82191780822</v>
      </c>
      <c r="F22" s="19" t="n">
        <f aca="false">IFERROR(F19*1000/F8,0)</f>
        <v>1140.48192771084</v>
      </c>
    </row>
  </sheetData>
  <mergeCells count="5">
    <mergeCell ref="A1:H1"/>
    <mergeCell ref="A4:H4"/>
    <mergeCell ref="A10:H10"/>
    <mergeCell ref="A15:H15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133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/>
      <c r="B3" s="9" t="s">
        <v>49</v>
      </c>
      <c r="C3" s="9" t="s">
        <v>50</v>
      </c>
      <c r="D3" s="9" t="s">
        <v>51</v>
      </c>
      <c r="E3" s="9" t="s">
        <v>52</v>
      </c>
      <c r="F3" s="9" t="s">
        <v>53</v>
      </c>
    </row>
    <row r="4" customFormat="false" ht="21.75" hidden="false" customHeight="true" outlineLevel="0" collapsed="false">
      <c r="A4" s="4" t="s">
        <v>134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0" t="s">
        <v>73</v>
      </c>
      <c r="B5" s="15" t="n">
        <f aca="false">Hypothèses!B20</f>
        <v>35</v>
      </c>
      <c r="C5" s="15" t="n">
        <f aca="false">Hypothèses!C20</f>
        <v>35</v>
      </c>
      <c r="D5" s="15" t="n">
        <f aca="false">Hypothèses!D20</f>
        <v>40</v>
      </c>
      <c r="E5" s="15" t="n">
        <f aca="false">Hypothèses!E20</f>
        <v>45</v>
      </c>
      <c r="F5" s="15" t="n">
        <f aca="false">Hypothèses!F20</f>
        <v>50</v>
      </c>
    </row>
    <row r="6" customFormat="false" ht="15" hidden="false" customHeight="false" outlineLevel="0" collapsed="false">
      <c r="A6" s="10" t="s">
        <v>135</v>
      </c>
      <c r="B6" s="21" t="n">
        <f aca="false">Hypothèses!B21</f>
        <v>0.65</v>
      </c>
      <c r="C6" s="21" t="n">
        <f aca="false">Hypothèses!C21</f>
        <v>0.68</v>
      </c>
      <c r="D6" s="21" t="n">
        <f aca="false">Hypothèses!D21</f>
        <v>0.72</v>
      </c>
      <c r="E6" s="21" t="n">
        <f aca="false">Hypothèses!E21</f>
        <v>0.75</v>
      </c>
      <c r="F6" s="21" t="n">
        <f aca="false">Hypothèses!F21</f>
        <v>0.78</v>
      </c>
    </row>
    <row r="7" customFormat="false" ht="15" hidden="false" customHeight="false" outlineLevel="0" collapsed="false">
      <c r="A7" s="16" t="s">
        <v>136</v>
      </c>
      <c r="B7" s="17" t="n">
        <f aca="false">B5*B6</f>
        <v>22.75</v>
      </c>
      <c r="C7" s="17" t="n">
        <f aca="false">C5*C6</f>
        <v>23.8</v>
      </c>
      <c r="D7" s="17" t="n">
        <f aca="false">D5*D6</f>
        <v>28.8</v>
      </c>
      <c r="E7" s="17" t="n">
        <f aca="false">E5*E6</f>
        <v>33.75</v>
      </c>
      <c r="F7" s="17" t="n">
        <f aca="false">F5*F6</f>
        <v>39</v>
      </c>
    </row>
    <row r="8" customFormat="false" ht="15" hidden="false" customHeight="false" outlineLevel="0" collapsed="false">
      <c r="A8" s="10" t="s">
        <v>137</v>
      </c>
      <c r="B8" s="21" t="n">
        <f aca="false">Hypothèses!B22</f>
        <v>0.03</v>
      </c>
      <c r="C8" s="21" t="n">
        <f aca="false">Hypothèses!C22</f>
        <v>0.025</v>
      </c>
      <c r="D8" s="21" t="n">
        <f aca="false">Hypothèses!D22</f>
        <v>0.022</v>
      </c>
      <c r="E8" s="21" t="n">
        <f aca="false">Hypothèses!E22</f>
        <v>0.02</v>
      </c>
      <c r="F8" s="21" t="n">
        <f aca="false">Hypothèses!F22</f>
        <v>0.018</v>
      </c>
    </row>
    <row r="9" customFormat="false" ht="15" hidden="false" customHeight="false" outlineLevel="0" collapsed="false">
      <c r="A9" s="10" t="s">
        <v>138</v>
      </c>
      <c r="B9" s="22" t="n">
        <f aca="false">B7*B8</f>
        <v>0.6825</v>
      </c>
      <c r="C9" s="22" t="n">
        <f aca="false">C7*C8</f>
        <v>0.595</v>
      </c>
      <c r="D9" s="22" t="n">
        <f aca="false">D7*D8</f>
        <v>0.6336</v>
      </c>
      <c r="E9" s="22" t="n">
        <f aca="false">E7*E8</f>
        <v>0.675</v>
      </c>
      <c r="F9" s="22" t="n">
        <f aca="false">F7*F8</f>
        <v>0.702</v>
      </c>
    </row>
    <row r="10" customFormat="false" ht="15" hidden="false" customHeight="false" outlineLevel="0" collapsed="false">
      <c r="A10" s="16" t="s">
        <v>139</v>
      </c>
      <c r="B10" s="23" t="n">
        <f aca="false">B7-B9</f>
        <v>22.0675</v>
      </c>
      <c r="C10" s="23" t="n">
        <f aca="false">C7-C9</f>
        <v>23.205</v>
      </c>
      <c r="D10" s="23" t="n">
        <f aca="false">D7-D9</f>
        <v>28.1664</v>
      </c>
      <c r="E10" s="23" t="n">
        <f aca="false">E7-E9</f>
        <v>33.075</v>
      </c>
      <c r="F10" s="23" t="n">
        <f aca="false">F7-F9</f>
        <v>38.298</v>
      </c>
    </row>
    <row r="12" customFormat="false" ht="21.75" hidden="false" customHeight="true" outlineLevel="0" collapsed="false">
      <c r="A12" s="4" t="s">
        <v>140</v>
      </c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10" t="s">
        <v>141</v>
      </c>
      <c r="B13" s="15" t="n">
        <f aca="false">Catalogue!B8</f>
        <v>25</v>
      </c>
      <c r="C13" s="15" t="n">
        <f aca="false">Catalogue!C8</f>
        <v>28.5</v>
      </c>
      <c r="D13" s="15" t="n">
        <f aca="false">Catalogue!D8</f>
        <v>32.5</v>
      </c>
      <c r="E13" s="15" t="n">
        <f aca="false">Catalogue!E8</f>
        <v>36.5</v>
      </c>
      <c r="F13" s="15" t="n">
        <f aca="false">Catalogue!F8</f>
        <v>41.5</v>
      </c>
    </row>
    <row r="14" customFormat="false" ht="15" hidden="false" customHeight="false" outlineLevel="0" collapsed="false">
      <c r="A14" s="16" t="s">
        <v>142</v>
      </c>
      <c r="B14" s="24" t="n">
        <f aca="false">IFERROR(B13/B5,0)</f>
        <v>0.714285714285714</v>
      </c>
      <c r="C14" s="24" t="n">
        <f aca="false">IFERROR(C13/C5,0)</f>
        <v>0.814285714285714</v>
      </c>
      <c r="D14" s="24" t="n">
        <f aca="false">IFERROR(D13/D5,0)</f>
        <v>0.8125</v>
      </c>
      <c r="E14" s="24" t="n">
        <f aca="false">IFERROR(E13/E5,0)</f>
        <v>0.811111111111111</v>
      </c>
      <c r="F14" s="24" t="n">
        <f aca="false">IFERROR(F13/F5,0)</f>
        <v>0.83</v>
      </c>
    </row>
    <row r="15" customFormat="false" ht="15" hidden="false" customHeight="false" outlineLevel="0" collapsed="false">
      <c r="A15" s="10" t="s">
        <v>143</v>
      </c>
      <c r="B15" s="22" t="n">
        <f aca="false">B10-B13</f>
        <v>-2.9325</v>
      </c>
      <c r="C15" s="22" t="n">
        <f aca="false">C10-C13</f>
        <v>-5.295</v>
      </c>
      <c r="D15" s="22" t="n">
        <f aca="false">D10-D13</f>
        <v>-4.3336</v>
      </c>
      <c r="E15" s="22" t="n">
        <f aca="false">E10-E13</f>
        <v>-3.425</v>
      </c>
      <c r="F15" s="22" t="n">
        <f aca="false">F10-F13</f>
        <v>-3.202</v>
      </c>
    </row>
  </sheetData>
  <mergeCells count="3">
    <mergeCell ref="A1:H1"/>
    <mergeCell ref="A4:H4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144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/>
      <c r="B3" s="9" t="s">
        <v>49</v>
      </c>
      <c r="C3" s="9" t="s">
        <v>50</v>
      </c>
      <c r="D3" s="9" t="s">
        <v>51</v>
      </c>
      <c r="E3" s="9" t="s">
        <v>52</v>
      </c>
      <c r="F3" s="9" t="s">
        <v>53</v>
      </c>
    </row>
    <row r="4" customFormat="false" ht="21.75" hidden="false" customHeight="true" outlineLevel="0" collapsed="false">
      <c r="A4" s="4" t="s">
        <v>145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0" t="s">
        <v>146</v>
      </c>
      <c r="B5" s="19" t="n">
        <f aca="false">Hypothèses!B12*Hypothèses!B25/1000</f>
        <v>4.2</v>
      </c>
      <c r="C5" s="19" t="n">
        <f aca="false">Hypothèses!C12*Hypothèses!C25/1000</f>
        <v>5.04</v>
      </c>
      <c r="D5" s="19" t="n">
        <f aca="false">Hypothèses!D12*Hypothèses!D25/1000</f>
        <v>6.105</v>
      </c>
      <c r="E5" s="19" t="n">
        <f aca="false">Hypothèses!E12*Hypothèses!E25/1000</f>
        <v>7.22</v>
      </c>
      <c r="F5" s="19" t="n">
        <f aca="false">Hypothèses!F12*Hypothèses!F25/1000</f>
        <v>8.58</v>
      </c>
    </row>
    <row r="6" customFormat="false" ht="15" hidden="false" customHeight="false" outlineLevel="0" collapsed="false">
      <c r="A6" s="10" t="s">
        <v>147</v>
      </c>
      <c r="B6" s="19" t="n">
        <f aca="false">Hypothèses!B13*Hypothèses!B26/1000</f>
        <v>3.6</v>
      </c>
      <c r="C6" s="19" t="n">
        <f aca="false">Hypothèses!C13*Hypothèses!C26/1000</f>
        <v>4.185</v>
      </c>
      <c r="D6" s="19" t="n">
        <f aca="false">Hypothèses!D13*Hypothèses!D26/1000</f>
        <v>4.8</v>
      </c>
      <c r="E6" s="19" t="n">
        <f aca="false">Hypothèses!E13*Hypothèses!E26/1000</f>
        <v>5.445</v>
      </c>
      <c r="F6" s="19" t="n">
        <f aca="false">Hypothèses!F13*Hypothèses!F26/1000</f>
        <v>6.375</v>
      </c>
    </row>
    <row r="7" customFormat="false" ht="15" hidden="false" customHeight="false" outlineLevel="0" collapsed="false">
      <c r="A7" s="10" t="s">
        <v>148</v>
      </c>
      <c r="B7" s="19" t="n">
        <f aca="false">Hypothèses!B14*Hypothèses!B27/1000</f>
        <v>3.1</v>
      </c>
      <c r="C7" s="19" t="n">
        <f aca="false">Hypothèses!C14*Hypothèses!C27/1000</f>
        <v>3.52</v>
      </c>
      <c r="D7" s="19" t="n">
        <f aca="false">Hypothèses!D14*Hypothèses!D27/1000</f>
        <v>3.96</v>
      </c>
      <c r="E7" s="19" t="n">
        <f aca="false">Hypothèses!E14*Hypothèses!E27/1000</f>
        <v>4.42</v>
      </c>
      <c r="F7" s="19" t="n">
        <f aca="false">Hypothèses!F14*Hypothèses!F27/1000</f>
        <v>4.9</v>
      </c>
    </row>
    <row r="8" customFormat="false" ht="15" hidden="false" customHeight="false" outlineLevel="0" collapsed="false">
      <c r="A8" s="16" t="s">
        <v>149</v>
      </c>
      <c r="B8" s="25" t="n">
        <f aca="false">B5+B6+B7</f>
        <v>10.9</v>
      </c>
      <c r="C8" s="25" t="n">
        <f aca="false">C5+C6+C7</f>
        <v>12.745</v>
      </c>
      <c r="D8" s="25" t="n">
        <f aca="false">D5+D6+D7</f>
        <v>14.865</v>
      </c>
      <c r="E8" s="25" t="n">
        <f aca="false">E5+E6+E7</f>
        <v>17.085</v>
      </c>
      <c r="F8" s="25" t="n">
        <f aca="false">F5+F6+F7</f>
        <v>19.855</v>
      </c>
    </row>
    <row r="10" customFormat="false" ht="21.75" hidden="false" customHeight="true" outlineLevel="0" collapsed="false">
      <c r="A10" s="4" t="s">
        <v>150</v>
      </c>
      <c r="B10" s="4"/>
      <c r="C10" s="4"/>
      <c r="D10" s="4"/>
      <c r="E10" s="4"/>
      <c r="F10" s="4"/>
      <c r="G10" s="4"/>
      <c r="H10" s="4"/>
    </row>
    <row r="11" customFormat="false" ht="15" hidden="false" customHeight="false" outlineLevel="0" collapsed="false">
      <c r="A11" s="10" t="s">
        <v>87</v>
      </c>
      <c r="B11" s="15" t="n">
        <f aca="false">Hypothèses!B33</f>
        <v>45</v>
      </c>
      <c r="C11" s="15" t="n">
        <f aca="false">Hypothèses!C33</f>
        <v>40</v>
      </c>
      <c r="D11" s="15" t="n">
        <f aca="false">Hypothèses!D33</f>
        <v>38</v>
      </c>
      <c r="E11" s="15" t="n">
        <f aca="false">Hypothèses!E33</f>
        <v>35</v>
      </c>
      <c r="F11" s="15" t="n">
        <f aca="false">Hypothèses!F33</f>
        <v>35</v>
      </c>
    </row>
    <row r="12" customFormat="false" ht="15" hidden="false" customHeight="false" outlineLevel="0" collapsed="false">
      <c r="A12" s="16" t="s">
        <v>151</v>
      </c>
      <c r="B12" s="25" t="n">
        <f aca="false">B8*Hypothèses!B33/365</f>
        <v>1.34383561643836</v>
      </c>
      <c r="C12" s="25" t="n">
        <f aca="false">C8*Hypothèses!C33/365</f>
        <v>1.39671232876712</v>
      </c>
      <c r="D12" s="25" t="n">
        <f aca="false">D8*Hypothèses!D33/365</f>
        <v>1.54758904109589</v>
      </c>
      <c r="E12" s="25" t="n">
        <f aca="false">E8*Hypothèses!E33/365</f>
        <v>1.63828767123288</v>
      </c>
      <c r="F12" s="25" t="n">
        <f aca="false">F8*Hypothèses!F33/365</f>
        <v>1.90390410958904</v>
      </c>
    </row>
    <row r="14" customFormat="false" ht="21.75" hidden="false" customHeight="true" outlineLevel="0" collapsed="false">
      <c r="A14" s="4" t="s">
        <v>152</v>
      </c>
      <c r="B14" s="4"/>
      <c r="C14" s="4"/>
      <c r="D14" s="4"/>
      <c r="E14" s="4"/>
      <c r="F14" s="4"/>
      <c r="G14" s="4"/>
      <c r="H14" s="4"/>
    </row>
    <row r="15" customFormat="false" ht="15" hidden="false" customHeight="false" outlineLevel="0" collapsed="false">
      <c r="A15" s="16" t="s">
        <v>153</v>
      </c>
      <c r="B15" s="25" t="n">
        <f aca="false">B8+B12</f>
        <v>12.2438356164384</v>
      </c>
      <c r="C15" s="25" t="n">
        <f aca="false">C8+C12-B12</f>
        <v>12.7978767123288</v>
      </c>
      <c r="D15" s="25" t="n">
        <f aca="false">D8+D12-C12</f>
        <v>15.0158767123288</v>
      </c>
      <c r="E15" s="25" t="n">
        <f aca="false">E8+E12-D12</f>
        <v>17.175698630137</v>
      </c>
      <c r="F15" s="25" t="n">
        <f aca="false">F8+F12-E12</f>
        <v>20.1206164383562</v>
      </c>
    </row>
  </sheetData>
  <mergeCells count="4">
    <mergeCell ref="A1:H1"/>
    <mergeCell ref="A4:H4"/>
    <mergeCell ref="A10:H10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154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/>
      <c r="B3" s="9" t="s">
        <v>49</v>
      </c>
      <c r="C3" s="9" t="s">
        <v>50</v>
      </c>
      <c r="D3" s="9" t="s">
        <v>51</v>
      </c>
      <c r="E3" s="9" t="s">
        <v>52</v>
      </c>
      <c r="F3" s="9" t="s">
        <v>53</v>
      </c>
    </row>
    <row r="4" customFormat="false" ht="21.75" hidden="false" customHeight="true" outlineLevel="0" collapsed="false">
      <c r="A4" s="4" t="s">
        <v>155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0" t="s">
        <v>156</v>
      </c>
      <c r="B5" s="18" t="n">
        <f aca="false">'Achats MP'!B12</f>
        <v>1.34383561643836</v>
      </c>
      <c r="C5" s="18" t="n">
        <f aca="false">'Achats MP'!C12</f>
        <v>1.39671232876712</v>
      </c>
      <c r="D5" s="18" t="n">
        <f aca="false">'Achats MP'!D12</f>
        <v>1.54758904109589</v>
      </c>
      <c r="E5" s="18" t="n">
        <f aca="false">'Achats MP'!E12</f>
        <v>1.63828767123288</v>
      </c>
      <c r="F5" s="18" t="n">
        <f aca="false">'Achats MP'!F12</f>
        <v>1.90390410958904</v>
      </c>
    </row>
    <row r="6" customFormat="false" ht="15" hidden="false" customHeight="false" outlineLevel="0" collapsed="false">
      <c r="A6" s="10" t="s">
        <v>157</v>
      </c>
      <c r="B6" s="19" t="n">
        <f aca="false">'Achats MP'!B8*Hypothèses!B34/365</f>
        <v>0.298630136986301</v>
      </c>
      <c r="C6" s="19" t="n">
        <f aca="false">'Achats MP'!C8*Hypothèses!C34/365</f>
        <v>0.349178082191781</v>
      </c>
      <c r="D6" s="19" t="n">
        <f aca="false">'Achats MP'!D8*Hypothèses!D34/365</f>
        <v>0.366534246575343</v>
      </c>
      <c r="E6" s="19" t="n">
        <f aca="false">'Achats MP'!E8*Hypothèses!E34/365</f>
        <v>0.374465753424658</v>
      </c>
      <c r="F6" s="19" t="n">
        <f aca="false">'Achats MP'!F8*Hypothèses!F34/365</f>
        <v>0.435178082191781</v>
      </c>
    </row>
    <row r="7" customFormat="false" ht="15" hidden="false" customHeight="false" outlineLevel="0" collapsed="false">
      <c r="A7" s="10" t="s">
        <v>158</v>
      </c>
      <c r="B7" s="19" t="n">
        <f aca="false">Catalogue!B19*0.7*Hypothèses!B35/365</f>
        <v>1.52465753424658</v>
      </c>
      <c r="C7" s="19" t="n">
        <f aca="false">Catalogue!C19*0.7*Hypothèses!C35/365</f>
        <v>1.65499178082192</v>
      </c>
      <c r="D7" s="19" t="n">
        <f aca="false">Catalogue!D19*0.7*Hypothèses!D35/365</f>
        <v>1.7147602739726</v>
      </c>
      <c r="E7" s="19" t="n">
        <f aca="false">Catalogue!E19*0.7*Hypothèses!E35/365</f>
        <v>1.80452328767123</v>
      </c>
      <c r="F7" s="19" t="n">
        <f aca="false">Catalogue!F19*0.7*Hypothèses!F35/365</f>
        <v>1.99693698630137</v>
      </c>
    </row>
    <row r="8" customFormat="false" ht="15" hidden="false" customHeight="false" outlineLevel="0" collapsed="false">
      <c r="A8" s="16" t="s">
        <v>159</v>
      </c>
      <c r="B8" s="25" t="n">
        <f aca="false">B5+B6+B7</f>
        <v>3.16712328767123</v>
      </c>
      <c r="C8" s="25" t="n">
        <f aca="false">C5+C6+C7</f>
        <v>3.40088219178082</v>
      </c>
      <c r="D8" s="25" t="n">
        <f aca="false">D5+D6+D7</f>
        <v>3.62888356164384</v>
      </c>
      <c r="E8" s="25" t="n">
        <f aca="false">E5+E6+E7</f>
        <v>3.81727671232877</v>
      </c>
      <c r="F8" s="25" t="n">
        <f aca="false">F5+F6+F7</f>
        <v>4.33601917808219</v>
      </c>
    </row>
    <row r="10" customFormat="false" ht="21.75" hidden="false" customHeight="true" outlineLevel="0" collapsed="false">
      <c r="A10" s="4" t="s">
        <v>160</v>
      </c>
      <c r="B10" s="4"/>
      <c r="C10" s="4"/>
      <c r="D10" s="4"/>
      <c r="E10" s="4"/>
      <c r="F10" s="4"/>
      <c r="G10" s="4"/>
      <c r="H10" s="4"/>
    </row>
    <row r="11" customFormat="false" ht="15" hidden="false" customHeight="false" outlineLevel="0" collapsed="false">
      <c r="A11" s="16" t="s">
        <v>161</v>
      </c>
      <c r="B11" s="26" t="n">
        <f aca="false">IFERROR(B8*365/Catalogue!B19,0)</f>
        <v>43.622641509434</v>
      </c>
      <c r="C11" s="26" t="n">
        <f aca="false">IFERROR(C8*365/Catalogue!C19,0)</f>
        <v>40.2765087605451</v>
      </c>
      <c r="D11" s="26" t="n">
        <f aca="false">IFERROR(D8*365/Catalogue!D19,0)</f>
        <v>37.0346008667692</v>
      </c>
      <c r="E11" s="26" t="n">
        <f aca="false">IFERROR(E8*365/Catalogue!E19,0)</f>
        <v>34.0578342703496</v>
      </c>
      <c r="F11" s="26" t="n">
        <f aca="false">IFERROR(F8*365/Catalogue!F19,0)</f>
        <v>33.4385590534545</v>
      </c>
    </row>
  </sheetData>
  <mergeCells count="3">
    <mergeCell ref="A1:H1"/>
    <mergeCell ref="A4:H4"/>
    <mergeCell ref="A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162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/>
      <c r="B3" s="9" t="s">
        <v>49</v>
      </c>
      <c r="C3" s="9" t="s">
        <v>50</v>
      </c>
      <c r="D3" s="9" t="s">
        <v>51</v>
      </c>
      <c r="E3" s="9" t="s">
        <v>52</v>
      </c>
      <c r="F3" s="9" t="s">
        <v>53</v>
      </c>
    </row>
    <row r="4" customFormat="false" ht="21.75" hidden="false" customHeight="true" outlineLevel="0" collapsed="false">
      <c r="A4" s="4" t="s">
        <v>163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0" t="s">
        <v>164</v>
      </c>
      <c r="B5" s="18" t="n">
        <f aca="false">Hypothèses!B28</f>
        <v>85</v>
      </c>
      <c r="C5" s="18" t="n">
        <f aca="false">Hypothèses!C28</f>
        <v>87</v>
      </c>
      <c r="D5" s="18" t="n">
        <f aca="false">Hypothèses!D28</f>
        <v>89</v>
      </c>
      <c r="E5" s="18" t="n">
        <f aca="false">Hypothèses!E28</f>
        <v>91</v>
      </c>
      <c r="F5" s="18" t="n">
        <f aca="false">Hypothèses!F28</f>
        <v>93</v>
      </c>
    </row>
    <row r="6" customFormat="false" ht="15" hidden="false" customHeight="false" outlineLevel="0" collapsed="false">
      <c r="A6" s="10" t="s">
        <v>165</v>
      </c>
      <c r="B6" s="18" t="n">
        <f aca="false">Hypothèses!B29</f>
        <v>45</v>
      </c>
      <c r="C6" s="18" t="n">
        <f aca="false">Hypothèses!C29</f>
        <v>47</v>
      </c>
      <c r="D6" s="18" t="n">
        <f aca="false">Hypothèses!D29</f>
        <v>48</v>
      </c>
      <c r="E6" s="18" t="n">
        <f aca="false">Hypothèses!E29</f>
        <v>50</v>
      </c>
      <c r="F6" s="18" t="n">
        <f aca="false">Hypothèses!F29</f>
        <v>52</v>
      </c>
    </row>
    <row r="7" customFormat="false" ht="15" hidden="false" customHeight="false" outlineLevel="0" collapsed="false">
      <c r="A7" s="10" t="s">
        <v>166</v>
      </c>
      <c r="B7" s="18" t="n">
        <f aca="false">Hypothèses!B30</f>
        <v>25</v>
      </c>
      <c r="C7" s="18" t="n">
        <f aca="false">Hypothèses!C30</f>
        <v>26</v>
      </c>
      <c r="D7" s="18" t="n">
        <f aca="false">Hypothèses!D30</f>
        <v>27</v>
      </c>
      <c r="E7" s="18" t="n">
        <f aca="false">Hypothèses!E30</f>
        <v>28</v>
      </c>
      <c r="F7" s="18" t="n">
        <f aca="false">Hypothèses!F30</f>
        <v>29</v>
      </c>
    </row>
    <row r="9" customFormat="false" ht="21.75" hidden="false" customHeight="true" outlineLevel="0" collapsed="false">
      <c r="A9" s="4" t="s">
        <v>167</v>
      </c>
      <c r="B9" s="4"/>
      <c r="C9" s="4"/>
      <c r="D9" s="4"/>
      <c r="E9" s="4"/>
      <c r="F9" s="4"/>
      <c r="G9" s="4"/>
      <c r="H9" s="4"/>
    </row>
    <row r="10" customFormat="false" ht="15" hidden="false" customHeight="false" outlineLevel="0" collapsed="false">
      <c r="A10" s="10" t="s">
        <v>168</v>
      </c>
      <c r="B10" s="18" t="n">
        <f aca="false">'Achats MP'!B8</f>
        <v>10.9</v>
      </c>
      <c r="C10" s="18" t="n">
        <f aca="false">'Achats MP'!C8</f>
        <v>12.745</v>
      </c>
      <c r="D10" s="18" t="n">
        <f aca="false">'Achats MP'!D8</f>
        <v>14.865</v>
      </c>
      <c r="E10" s="18" t="n">
        <f aca="false">'Achats MP'!E8</f>
        <v>17.085</v>
      </c>
      <c r="F10" s="18" t="n">
        <f aca="false">'Achats MP'!F8</f>
        <v>19.855</v>
      </c>
    </row>
    <row r="11" customFormat="false" ht="15" hidden="false" customHeight="false" outlineLevel="0" collapsed="false">
      <c r="A11" s="10" t="s">
        <v>169</v>
      </c>
      <c r="B11" s="19" t="n">
        <f aca="false">Catalogue!B8*Hypothèses!B28/1000</f>
        <v>2.125</v>
      </c>
      <c r="C11" s="19" t="n">
        <f aca="false">Catalogue!C8*Hypothèses!C28/1000</f>
        <v>2.4795</v>
      </c>
      <c r="D11" s="19" t="n">
        <f aca="false">Catalogue!D8*Hypothèses!D28/1000</f>
        <v>2.8925</v>
      </c>
      <c r="E11" s="19" t="n">
        <f aca="false">Catalogue!E8*Hypothèses!E28/1000</f>
        <v>3.3215</v>
      </c>
      <c r="F11" s="19" t="n">
        <f aca="false">Catalogue!F8*Hypothèses!F28/1000</f>
        <v>3.8595</v>
      </c>
    </row>
    <row r="12" customFormat="false" ht="15" hidden="false" customHeight="false" outlineLevel="0" collapsed="false">
      <c r="A12" s="10" t="s">
        <v>170</v>
      </c>
      <c r="B12" s="19" t="n">
        <f aca="false">Catalogue!B8*Hypothèses!B29/1000</f>
        <v>1.125</v>
      </c>
      <c r="C12" s="19" t="n">
        <f aca="false">Catalogue!C8*Hypothèses!C29/1000</f>
        <v>1.3395</v>
      </c>
      <c r="D12" s="19" t="n">
        <f aca="false">Catalogue!D8*Hypothèses!D29/1000</f>
        <v>1.56</v>
      </c>
      <c r="E12" s="19" t="n">
        <f aca="false">Catalogue!E8*Hypothèses!E29/1000</f>
        <v>1.825</v>
      </c>
      <c r="F12" s="19" t="n">
        <f aca="false">Catalogue!F8*Hypothèses!F29/1000</f>
        <v>2.158</v>
      </c>
    </row>
    <row r="13" customFormat="false" ht="15" hidden="false" customHeight="false" outlineLevel="0" collapsed="false">
      <c r="A13" s="10" t="s">
        <v>171</v>
      </c>
      <c r="B13" s="19" t="n">
        <f aca="false">Catalogue!B8*Hypothèses!B30/1000</f>
        <v>0.625</v>
      </c>
      <c r="C13" s="19" t="n">
        <f aca="false">Catalogue!C8*Hypothèses!C30/1000</f>
        <v>0.741</v>
      </c>
      <c r="D13" s="19" t="n">
        <f aca="false">Catalogue!D8*Hypothèses!D30/1000</f>
        <v>0.8775</v>
      </c>
      <c r="E13" s="19" t="n">
        <f aca="false">Catalogue!E8*Hypothèses!E30/1000</f>
        <v>1.022</v>
      </c>
      <c r="F13" s="19" t="n">
        <f aca="false">Catalogue!F8*Hypothèses!F30/1000</f>
        <v>1.2035</v>
      </c>
    </row>
    <row r="14" customFormat="false" ht="15" hidden="false" customHeight="false" outlineLevel="0" collapsed="false">
      <c r="A14" s="16" t="s">
        <v>172</v>
      </c>
      <c r="B14" s="20" t="n">
        <f aca="false">SUM(B10:B13)</f>
        <v>14.775</v>
      </c>
      <c r="C14" s="20" t="n">
        <f aca="false">SUM(C10:C13)</f>
        <v>17.305</v>
      </c>
      <c r="D14" s="20" t="n">
        <f aca="false">SUM(D10:D13)</f>
        <v>20.195</v>
      </c>
      <c r="E14" s="20" t="n">
        <f aca="false">SUM(E10:E13)</f>
        <v>23.2535</v>
      </c>
      <c r="F14" s="20" t="n">
        <f aca="false">SUM(F10:F13)</f>
        <v>27.076</v>
      </c>
    </row>
    <row r="16" customFormat="false" ht="21.75" hidden="false" customHeight="true" outlineLevel="0" collapsed="false">
      <c r="A16" s="4" t="s">
        <v>173</v>
      </c>
      <c r="B16" s="4"/>
      <c r="C16" s="4"/>
      <c r="D16" s="4"/>
      <c r="E16" s="4"/>
      <c r="F16" s="4"/>
      <c r="G16" s="4"/>
      <c r="H16" s="4"/>
    </row>
    <row r="17" customFormat="false" ht="15" hidden="false" customHeight="false" outlineLevel="0" collapsed="false">
      <c r="A17" s="16" t="s">
        <v>174</v>
      </c>
      <c r="B17" s="25" t="n">
        <f aca="false">Catalogue!B19-B14</f>
        <v>11.725</v>
      </c>
      <c r="C17" s="25" t="n">
        <f aca="false">Catalogue!C19-C14</f>
        <v>13.515</v>
      </c>
      <c r="D17" s="25" t="n">
        <f aca="false">Catalogue!D19-D14</f>
        <v>15.57</v>
      </c>
      <c r="E17" s="25" t="n">
        <f aca="false">Catalogue!E19-E14</f>
        <v>17.6565</v>
      </c>
      <c r="F17" s="25" t="n">
        <f aca="false">Catalogue!F19-F14</f>
        <v>20.254</v>
      </c>
    </row>
    <row r="18" customFormat="false" ht="15" hidden="false" customHeight="false" outlineLevel="0" collapsed="false">
      <c r="A18" s="16" t="s">
        <v>175</v>
      </c>
      <c r="B18" s="24" t="n">
        <f aca="false">IFERROR(B17/Catalogue!B19,0)</f>
        <v>0.442452830188679</v>
      </c>
      <c r="C18" s="24" t="n">
        <f aca="false">IFERROR(C17/Catalogue!C19,0)</f>
        <v>0.438513951979234</v>
      </c>
      <c r="D18" s="24" t="n">
        <f aca="false">IFERROR(D17/Catalogue!D19,0)</f>
        <v>0.435341814623235</v>
      </c>
      <c r="E18" s="24" t="n">
        <f aca="false">IFERROR(E17/Catalogue!E19,0)</f>
        <v>0.431593742361281</v>
      </c>
      <c r="F18" s="24" t="n">
        <f aca="false">IFERROR(F17/Catalogue!F19,0)</f>
        <v>0.427931544474963</v>
      </c>
    </row>
  </sheetData>
  <mergeCells count="4">
    <mergeCell ref="A1:H1"/>
    <mergeCell ref="A4:H4"/>
    <mergeCell ref="A9:H9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176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/>
      <c r="B3" s="9" t="s">
        <v>49</v>
      </c>
      <c r="C3" s="9" t="s">
        <v>50</v>
      </c>
      <c r="D3" s="9" t="s">
        <v>51</v>
      </c>
      <c r="E3" s="9" t="s">
        <v>52</v>
      </c>
      <c r="F3" s="9" t="s">
        <v>53</v>
      </c>
    </row>
    <row r="4" customFormat="false" ht="21.75" hidden="false" customHeight="true" outlineLevel="0" collapsed="false">
      <c r="A4" s="4" t="s">
        <v>177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0" t="s">
        <v>178</v>
      </c>
      <c r="B5" s="18" t="n">
        <f aca="false">Hypothèses!B25</f>
        <v>350</v>
      </c>
      <c r="C5" s="18" t="n">
        <f aca="false">Hypothèses!C25</f>
        <v>360</v>
      </c>
      <c r="D5" s="18" t="n">
        <f aca="false">Hypothèses!D25</f>
        <v>370</v>
      </c>
      <c r="E5" s="18" t="n">
        <f aca="false">Hypothèses!E25</f>
        <v>380</v>
      </c>
      <c r="F5" s="18" t="n">
        <f aca="false">Hypothèses!F25</f>
        <v>390</v>
      </c>
    </row>
    <row r="6" customFormat="false" ht="15" hidden="false" customHeight="false" outlineLevel="0" collapsed="false">
      <c r="A6" s="10" t="s">
        <v>179</v>
      </c>
      <c r="B6" s="18" t="n">
        <f aca="false">Hypothèses!B28</f>
        <v>85</v>
      </c>
      <c r="C6" s="18" t="n">
        <f aca="false">Hypothèses!C28</f>
        <v>87</v>
      </c>
      <c r="D6" s="18" t="n">
        <f aca="false">Hypothèses!D28</f>
        <v>89</v>
      </c>
      <c r="E6" s="18" t="n">
        <f aca="false">Hypothèses!E28</f>
        <v>91</v>
      </c>
      <c r="F6" s="18" t="n">
        <f aca="false">Hypothèses!F28</f>
        <v>93</v>
      </c>
    </row>
    <row r="7" customFormat="false" ht="15" hidden="false" customHeight="false" outlineLevel="0" collapsed="false">
      <c r="A7" s="10" t="s">
        <v>180</v>
      </c>
      <c r="B7" s="18" t="n">
        <f aca="false">Hypothèses!B29</f>
        <v>45</v>
      </c>
      <c r="C7" s="18" t="n">
        <f aca="false">Hypothèses!C29</f>
        <v>47</v>
      </c>
      <c r="D7" s="18" t="n">
        <f aca="false">Hypothèses!D29</f>
        <v>48</v>
      </c>
      <c r="E7" s="18" t="n">
        <f aca="false">Hypothèses!E29</f>
        <v>50</v>
      </c>
      <c r="F7" s="18" t="n">
        <f aca="false">Hypothèses!F29</f>
        <v>52</v>
      </c>
    </row>
    <row r="8" customFormat="false" ht="15" hidden="false" customHeight="false" outlineLevel="0" collapsed="false">
      <c r="A8" s="16" t="s">
        <v>181</v>
      </c>
      <c r="B8" s="25" t="n">
        <f aca="false">Hypothèses!B25+Hypothèses!B28+Hypothèses!B29+Hypothèses!B30</f>
        <v>505</v>
      </c>
      <c r="C8" s="25" t="n">
        <f aca="false">Hypothèses!C25+Hypothèses!C28+Hypothèses!C29+Hypothèses!C30</f>
        <v>520</v>
      </c>
      <c r="D8" s="25" t="n">
        <f aca="false">Hypothèses!D25+Hypothèses!D28+Hypothèses!D29+Hypothèses!D30</f>
        <v>534</v>
      </c>
      <c r="E8" s="25" t="n">
        <f aca="false">Hypothèses!E25+Hypothèses!E28+Hypothèses!E29+Hypothèses!E30</f>
        <v>549</v>
      </c>
      <c r="F8" s="25" t="n">
        <f aca="false">Hypothèses!F25+Hypothèses!F28+Hypothèses!F29+Hypothèses!F30</f>
        <v>564</v>
      </c>
    </row>
    <row r="10" customFormat="false" ht="21.75" hidden="false" customHeight="true" outlineLevel="0" collapsed="false">
      <c r="A10" s="4" t="s">
        <v>182</v>
      </c>
      <c r="B10" s="4"/>
      <c r="C10" s="4"/>
      <c r="D10" s="4"/>
      <c r="E10" s="4"/>
      <c r="F10" s="4"/>
      <c r="G10" s="4"/>
      <c r="H10" s="4"/>
    </row>
    <row r="11" customFormat="false" ht="15" hidden="false" customHeight="false" outlineLevel="0" collapsed="false">
      <c r="A11" s="10" t="s">
        <v>183</v>
      </c>
      <c r="B11" s="11" t="n">
        <v>0.02</v>
      </c>
      <c r="C11" s="11" t="n">
        <v>0.015</v>
      </c>
      <c r="D11" s="11" t="n">
        <v>0.01</v>
      </c>
      <c r="E11" s="11" t="n">
        <v>0.01</v>
      </c>
      <c r="F11" s="11" t="n">
        <v>0.005</v>
      </c>
    </row>
    <row r="12" customFormat="false" ht="15" hidden="false" customHeight="false" outlineLevel="0" collapsed="false">
      <c r="A12" s="10" t="s">
        <v>184</v>
      </c>
      <c r="B12" s="19" t="n">
        <f aca="false">'Coûts directs'!B10*B11</f>
        <v>0.218</v>
      </c>
      <c r="C12" s="19" t="n">
        <f aca="false">'Coûts directs'!C10*C11</f>
        <v>0.191175</v>
      </c>
      <c r="D12" s="19" t="n">
        <f aca="false">'Coûts directs'!D10*D11</f>
        <v>0.14865</v>
      </c>
      <c r="E12" s="19" t="n">
        <f aca="false">'Coûts directs'!E10*E11</f>
        <v>0.17085</v>
      </c>
      <c r="F12" s="19" t="n">
        <f aca="false">'Coûts directs'!F10*F11</f>
        <v>0.099275</v>
      </c>
    </row>
    <row r="13" customFormat="false" ht="15" hidden="false" customHeight="false" outlineLevel="0" collapsed="false">
      <c r="A13" s="10" t="s">
        <v>185</v>
      </c>
      <c r="B13" s="11" t="n">
        <v>0.015</v>
      </c>
      <c r="C13" s="11" t="n">
        <v>0.012</v>
      </c>
      <c r="D13" s="11" t="n">
        <v>0.01</v>
      </c>
      <c r="E13" s="11" t="n">
        <v>0.008</v>
      </c>
      <c r="F13" s="11" t="n">
        <v>0.005</v>
      </c>
    </row>
    <row r="14" customFormat="false" ht="15" hidden="false" customHeight="false" outlineLevel="0" collapsed="false">
      <c r="A14" s="10" t="s">
        <v>186</v>
      </c>
      <c r="B14" s="19" t="n">
        <f aca="false">'Coûts directs'!B10*B13</f>
        <v>0.1635</v>
      </c>
      <c r="C14" s="19" t="n">
        <f aca="false">'Coûts directs'!C10*C13</f>
        <v>0.15294</v>
      </c>
      <c r="D14" s="19" t="n">
        <f aca="false">'Coûts directs'!D10*D13</f>
        <v>0.14865</v>
      </c>
      <c r="E14" s="19" t="n">
        <f aca="false">'Coûts directs'!E10*E13</f>
        <v>0.13668</v>
      </c>
      <c r="F14" s="19" t="n">
        <f aca="false">'Coûts directs'!F10*F13</f>
        <v>0.099275</v>
      </c>
    </row>
    <row r="15" customFormat="false" ht="15" hidden="false" customHeight="false" outlineLevel="0" collapsed="false">
      <c r="A15" s="10" t="s">
        <v>187</v>
      </c>
      <c r="B15" s="11" t="n">
        <v>0.03</v>
      </c>
      <c r="C15" s="11" t="n">
        <v>0.025</v>
      </c>
      <c r="D15" s="11" t="n">
        <v>0.02</v>
      </c>
      <c r="E15" s="11" t="n">
        <v>0.018</v>
      </c>
      <c r="F15" s="11" t="n">
        <v>0.015</v>
      </c>
    </row>
    <row r="16" customFormat="false" ht="15" hidden="false" customHeight="false" outlineLevel="0" collapsed="false">
      <c r="A16" s="10" t="s">
        <v>188</v>
      </c>
      <c r="B16" s="19" t="n">
        <f aca="false">'Coûts directs'!B11*B15</f>
        <v>0.06375</v>
      </c>
      <c r="C16" s="19" t="n">
        <f aca="false">'Coûts directs'!C11*C15</f>
        <v>0.0619875</v>
      </c>
      <c r="D16" s="19" t="n">
        <f aca="false">'Coûts directs'!D11*D15</f>
        <v>0.05785</v>
      </c>
      <c r="E16" s="19" t="n">
        <f aca="false">'Coûts directs'!E11*E15</f>
        <v>0.059787</v>
      </c>
      <c r="F16" s="19" t="n">
        <f aca="false">'Coûts directs'!F11*F15</f>
        <v>0.0578925</v>
      </c>
    </row>
  </sheetData>
  <mergeCells count="3">
    <mergeCell ref="A1:H1"/>
    <mergeCell ref="A4:H4"/>
    <mergeCell ref="A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189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/>
      <c r="B3" s="9" t="s">
        <v>49</v>
      </c>
      <c r="C3" s="9" t="s">
        <v>50</v>
      </c>
      <c r="D3" s="9" t="s">
        <v>51</v>
      </c>
      <c r="E3" s="9" t="s">
        <v>52</v>
      </c>
      <c r="F3" s="9" t="s">
        <v>53</v>
      </c>
    </row>
    <row r="4" customFormat="false" ht="21.75" hidden="false" customHeight="true" outlineLevel="0" collapsed="false">
      <c r="A4" s="4" t="s">
        <v>190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0" t="s">
        <v>191</v>
      </c>
      <c r="B5" s="19" t="n">
        <f aca="false">Hypothèses!B57</f>
        <v>25</v>
      </c>
      <c r="C5" s="19" t="n">
        <f aca="false">B7</f>
        <v>27</v>
      </c>
      <c r="D5" s="19" t="n">
        <f aca="false">C7</f>
        <v>30.5</v>
      </c>
      <c r="E5" s="19" t="n">
        <f aca="false">D7</f>
        <v>35.5</v>
      </c>
      <c r="F5" s="19" t="n">
        <f aca="false">E7</f>
        <v>39.5</v>
      </c>
    </row>
    <row r="6" customFormat="false" ht="15" hidden="false" customHeight="false" outlineLevel="0" collapsed="false">
      <c r="A6" s="10" t="s">
        <v>192</v>
      </c>
      <c r="B6" s="18" t="n">
        <f aca="false">Hypothèses!B58</f>
        <v>2</v>
      </c>
      <c r="C6" s="18" t="n">
        <f aca="false">Hypothèses!C58</f>
        <v>3.5</v>
      </c>
      <c r="D6" s="18" t="n">
        <f aca="false">Hypothèses!D58</f>
        <v>5</v>
      </c>
      <c r="E6" s="18" t="n">
        <f aca="false">Hypothèses!E58</f>
        <v>4</v>
      </c>
      <c r="F6" s="18" t="n">
        <f aca="false">Hypothèses!F58</f>
        <v>3</v>
      </c>
    </row>
    <row r="7" customFormat="false" ht="15" hidden="false" customHeight="false" outlineLevel="0" collapsed="false">
      <c r="A7" s="16" t="s">
        <v>193</v>
      </c>
      <c r="B7" s="25" t="n">
        <f aca="false">B5+B6</f>
        <v>27</v>
      </c>
      <c r="C7" s="25" t="n">
        <f aca="false">C5+C6</f>
        <v>30.5</v>
      </c>
      <c r="D7" s="25" t="n">
        <f aca="false">D5+D6</f>
        <v>35.5</v>
      </c>
      <c r="E7" s="25" t="n">
        <f aca="false">E5+E6</f>
        <v>39.5</v>
      </c>
      <c r="F7" s="25" t="n">
        <f aca="false">F5+F6</f>
        <v>42.5</v>
      </c>
    </row>
    <row r="9" customFormat="false" ht="21.75" hidden="false" customHeight="true" outlineLevel="0" collapsed="false">
      <c r="A9" s="4" t="s">
        <v>194</v>
      </c>
      <c r="B9" s="4"/>
      <c r="C9" s="4"/>
      <c r="D9" s="4"/>
      <c r="E9" s="4"/>
      <c r="F9" s="4"/>
      <c r="G9" s="4"/>
      <c r="H9" s="4"/>
    </row>
    <row r="10" customFormat="false" ht="15" hidden="false" customHeight="false" outlineLevel="0" collapsed="false">
      <c r="A10" s="10" t="s">
        <v>195</v>
      </c>
      <c r="B10" s="19" t="n">
        <f aca="false">B7/Hypothèses!B59</f>
        <v>2.7</v>
      </c>
      <c r="C10" s="19" t="n">
        <f aca="false">C7/Hypothèses!C59</f>
        <v>3.05</v>
      </c>
      <c r="D10" s="19" t="n">
        <f aca="false">D7/Hypothèses!D59</f>
        <v>3.55</v>
      </c>
      <c r="E10" s="19" t="n">
        <f aca="false">E7/Hypothèses!E59</f>
        <v>3.95</v>
      </c>
      <c r="F10" s="19" t="n">
        <f aca="false">F7/Hypothèses!F59</f>
        <v>4.25</v>
      </c>
    </row>
    <row r="11" customFormat="false" ht="15" hidden="false" customHeight="false" outlineLevel="0" collapsed="false">
      <c r="A11" s="10" t="s">
        <v>196</v>
      </c>
      <c r="B11" s="14" t="n">
        <v>5</v>
      </c>
      <c r="C11" s="19" t="n">
        <f aca="false">B12</f>
        <v>7.7</v>
      </c>
      <c r="D11" s="19" t="n">
        <f aca="false">C12</f>
        <v>10.75</v>
      </c>
      <c r="E11" s="19" t="n">
        <f aca="false">D12</f>
        <v>14.3</v>
      </c>
      <c r="F11" s="19" t="n">
        <f aca="false">E12</f>
        <v>18.25</v>
      </c>
    </row>
    <row r="12" customFormat="false" ht="15" hidden="false" customHeight="false" outlineLevel="0" collapsed="false">
      <c r="A12" s="16" t="s">
        <v>197</v>
      </c>
      <c r="B12" s="25" t="n">
        <f aca="false">B11+B10</f>
        <v>7.7</v>
      </c>
      <c r="C12" s="25" t="n">
        <f aca="false">C11+C10</f>
        <v>10.75</v>
      </c>
      <c r="D12" s="25" t="n">
        <f aca="false">D11+D10</f>
        <v>14.3</v>
      </c>
      <c r="E12" s="25" t="n">
        <f aca="false">E11+E10</f>
        <v>18.25</v>
      </c>
      <c r="F12" s="25" t="n">
        <f aca="false">F11+F10</f>
        <v>22.5</v>
      </c>
    </row>
    <row r="14" customFormat="false" ht="21.75" hidden="false" customHeight="true" outlineLevel="0" collapsed="false">
      <c r="A14" s="4" t="s">
        <v>198</v>
      </c>
      <c r="B14" s="4"/>
      <c r="C14" s="4"/>
      <c r="D14" s="4"/>
      <c r="E14" s="4"/>
      <c r="F14" s="4"/>
      <c r="G14" s="4"/>
      <c r="H14" s="4"/>
    </row>
    <row r="15" customFormat="false" ht="15" hidden="false" customHeight="false" outlineLevel="0" collapsed="false">
      <c r="A15" s="16" t="s">
        <v>199</v>
      </c>
      <c r="B15" s="20" t="n">
        <f aca="false">B7-B12</f>
        <v>19.3</v>
      </c>
      <c r="C15" s="20" t="n">
        <f aca="false">C7-C12</f>
        <v>19.75</v>
      </c>
      <c r="D15" s="20" t="n">
        <f aca="false">D7-D12</f>
        <v>21.2</v>
      </c>
      <c r="E15" s="20" t="n">
        <f aca="false">E7-E12</f>
        <v>21.25</v>
      </c>
      <c r="F15" s="20" t="n">
        <f aca="false">F7-F12</f>
        <v>20</v>
      </c>
    </row>
  </sheetData>
  <mergeCells count="4">
    <mergeCell ref="A1:H1"/>
    <mergeCell ref="A4:H4"/>
    <mergeCell ref="A9:H9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200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/>
      <c r="B3" s="9" t="s">
        <v>49</v>
      </c>
      <c r="C3" s="9" t="s">
        <v>50</v>
      </c>
      <c r="D3" s="9" t="s">
        <v>51</v>
      </c>
      <c r="E3" s="9" t="s">
        <v>52</v>
      </c>
      <c r="F3" s="9" t="s">
        <v>53</v>
      </c>
    </row>
    <row r="4" customFormat="false" ht="21.75" hidden="false" customHeight="true" outlineLevel="0" collapsed="false">
      <c r="A4" s="4" t="s">
        <v>201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0" t="s">
        <v>202</v>
      </c>
      <c r="B5" s="19" t="n">
        <f aca="false">Hypothèses!B41*Hypothèses!B44/1000</f>
        <v>0.1375</v>
      </c>
      <c r="C5" s="19" t="n">
        <f aca="false">Hypothèses!C41*Hypothèses!C44/1000</f>
        <v>0.1596</v>
      </c>
      <c r="D5" s="19" t="n">
        <f aca="false">Hypothèses!D41*Hypothèses!D44/1000</f>
        <v>0.177</v>
      </c>
      <c r="E5" s="19" t="n">
        <f aca="false">Hypothèses!E41*Hypothèses!E44/1000</f>
        <v>0.1952</v>
      </c>
      <c r="F5" s="19" t="n">
        <f aca="false">Hypothèses!F41*Hypothèses!F44/1000</f>
        <v>0.2205</v>
      </c>
    </row>
    <row r="6" customFormat="false" ht="15" hidden="false" customHeight="false" outlineLevel="0" collapsed="false">
      <c r="A6" s="10" t="s">
        <v>203</v>
      </c>
      <c r="B6" s="19" t="n">
        <f aca="false">Hypothèses!B42*Hypothèses!B45/1000</f>
        <v>0.16</v>
      </c>
      <c r="C6" s="19" t="n">
        <f aca="false">Hypothèses!C42*Hypothèses!C45/1000</f>
        <v>0.1764</v>
      </c>
      <c r="D6" s="19" t="n">
        <f aca="false">Hypothèses!D42*Hypothèses!D45/1000</f>
        <v>0.198</v>
      </c>
      <c r="E6" s="19" t="n">
        <f aca="false">Hypothèses!E42*Hypothèses!E45/1000</f>
        <v>0.2208</v>
      </c>
      <c r="F6" s="19" t="n">
        <f aca="false">Hypothèses!F42*Hypothèses!F45/1000</f>
        <v>0.24</v>
      </c>
    </row>
    <row r="7" customFormat="false" ht="15" hidden="false" customHeight="false" outlineLevel="0" collapsed="false">
      <c r="A7" s="16" t="s">
        <v>204</v>
      </c>
      <c r="B7" s="25" t="n">
        <f aca="false">B5+B6</f>
        <v>0.2975</v>
      </c>
      <c r="C7" s="25" t="n">
        <f aca="false">C5+C6</f>
        <v>0.336</v>
      </c>
      <c r="D7" s="25" t="n">
        <f aca="false">D5+D6</f>
        <v>0.375</v>
      </c>
      <c r="E7" s="25" t="n">
        <f aca="false">E5+E6</f>
        <v>0.416</v>
      </c>
      <c r="F7" s="25" t="n">
        <f aca="false">F5+F6</f>
        <v>0.4605</v>
      </c>
    </row>
    <row r="9" customFormat="false" ht="21.75" hidden="false" customHeight="true" outlineLevel="0" collapsed="false">
      <c r="A9" s="4" t="s">
        <v>205</v>
      </c>
      <c r="B9" s="4"/>
      <c r="C9" s="4"/>
      <c r="D9" s="4"/>
      <c r="E9" s="4"/>
      <c r="F9" s="4"/>
      <c r="G9" s="4"/>
      <c r="H9" s="4"/>
    </row>
    <row r="10" customFormat="false" ht="15" hidden="false" customHeight="false" outlineLevel="0" collapsed="false">
      <c r="A10" s="10" t="s">
        <v>102</v>
      </c>
      <c r="B10" s="18" t="n">
        <f aca="false">Hypothèses!B48</f>
        <v>0.8</v>
      </c>
      <c r="C10" s="18" t="n">
        <f aca="false">Hypothèses!C48</f>
        <v>0.9</v>
      </c>
      <c r="D10" s="18" t="n">
        <f aca="false">Hypothèses!D48</f>
        <v>1</v>
      </c>
      <c r="E10" s="18" t="n">
        <f aca="false">Hypothèses!E48</f>
        <v>1.1</v>
      </c>
      <c r="F10" s="18" t="n">
        <f aca="false">Hypothèses!F48</f>
        <v>1.2</v>
      </c>
    </row>
    <row r="11" customFormat="false" ht="15" hidden="false" customHeight="false" outlineLevel="0" collapsed="false">
      <c r="A11" s="10" t="s">
        <v>103</v>
      </c>
      <c r="B11" s="18" t="n">
        <f aca="false">Hypothèses!B49</f>
        <v>1.5</v>
      </c>
      <c r="C11" s="18" t="n">
        <f aca="false">Hypothèses!C49</f>
        <v>1.6</v>
      </c>
      <c r="D11" s="18" t="n">
        <f aca="false">Hypothèses!D49</f>
        <v>1.8</v>
      </c>
      <c r="E11" s="18" t="n">
        <f aca="false">Hypothèses!E49</f>
        <v>2</v>
      </c>
      <c r="F11" s="18" t="n">
        <f aca="false">Hypothèses!F49</f>
        <v>2.2</v>
      </c>
    </row>
    <row r="12" customFormat="false" ht="15" hidden="false" customHeight="false" outlineLevel="0" collapsed="false">
      <c r="A12" s="10" t="s">
        <v>206</v>
      </c>
      <c r="B12" s="18" t="n">
        <f aca="false">Hypothèses!B50</f>
        <v>0.6</v>
      </c>
      <c r="C12" s="18" t="n">
        <f aca="false">Hypothèses!C50</f>
        <v>0.65</v>
      </c>
      <c r="D12" s="18" t="n">
        <f aca="false">Hypothèses!D50</f>
        <v>0.7</v>
      </c>
      <c r="E12" s="18" t="n">
        <f aca="false">Hypothèses!E50</f>
        <v>0.75</v>
      </c>
      <c r="F12" s="18" t="n">
        <f aca="false">Hypothèses!F50</f>
        <v>0.8</v>
      </c>
    </row>
    <row r="13" customFormat="false" ht="15" hidden="false" customHeight="false" outlineLevel="0" collapsed="false">
      <c r="A13" s="10" t="s">
        <v>207</v>
      </c>
      <c r="B13" s="18" t="n">
        <f aca="false">Hypothèses!B51</f>
        <v>0.4</v>
      </c>
      <c r="C13" s="18" t="n">
        <f aca="false">Hypothèses!C51</f>
        <v>0.45</v>
      </c>
      <c r="D13" s="18" t="n">
        <f aca="false">Hypothèses!D51</f>
        <v>0.5</v>
      </c>
      <c r="E13" s="18" t="n">
        <f aca="false">Hypothèses!E51</f>
        <v>0.55</v>
      </c>
      <c r="F13" s="18" t="n">
        <f aca="false">Hypothèses!F51</f>
        <v>0.6</v>
      </c>
    </row>
    <row r="14" customFormat="false" ht="15" hidden="false" customHeight="false" outlineLevel="0" collapsed="false">
      <c r="A14" s="10" t="s">
        <v>106</v>
      </c>
      <c r="B14" s="18" t="n">
        <f aca="false">Hypothèses!B52</f>
        <v>0.7</v>
      </c>
      <c r="C14" s="18" t="n">
        <f aca="false">Hypothèses!C52</f>
        <v>0.8</v>
      </c>
      <c r="D14" s="18" t="n">
        <f aca="false">Hypothèses!D52</f>
        <v>0.9</v>
      </c>
      <c r="E14" s="18" t="n">
        <f aca="false">Hypothèses!E52</f>
        <v>1</v>
      </c>
      <c r="F14" s="18" t="n">
        <f aca="false">Hypothèses!F52</f>
        <v>1.1</v>
      </c>
    </row>
    <row r="15" customFormat="false" ht="15" hidden="false" customHeight="false" outlineLevel="0" collapsed="false">
      <c r="A15" s="10" t="s">
        <v>107</v>
      </c>
      <c r="B15" s="18" t="n">
        <f aca="false">Hypothèses!B53</f>
        <v>0.3</v>
      </c>
      <c r="C15" s="18" t="n">
        <f aca="false">Hypothèses!C53</f>
        <v>0.32</v>
      </c>
      <c r="D15" s="18" t="n">
        <f aca="false">Hypothèses!D53</f>
        <v>0.34</v>
      </c>
      <c r="E15" s="18" t="n">
        <f aca="false">Hypothèses!E53</f>
        <v>0.36</v>
      </c>
      <c r="F15" s="18" t="n">
        <f aca="false">Hypothèses!F53</f>
        <v>0.38</v>
      </c>
    </row>
    <row r="16" customFormat="false" ht="15" hidden="false" customHeight="false" outlineLevel="0" collapsed="false">
      <c r="A16" s="10" t="s">
        <v>108</v>
      </c>
      <c r="B16" s="18" t="n">
        <f aca="false">Hypothèses!B54</f>
        <v>0.5</v>
      </c>
      <c r="C16" s="18" t="n">
        <f aca="false">Hypothèses!C54</f>
        <v>0.55</v>
      </c>
      <c r="D16" s="18" t="n">
        <f aca="false">Hypothèses!D54</f>
        <v>0.6</v>
      </c>
      <c r="E16" s="18" t="n">
        <f aca="false">Hypothèses!E54</f>
        <v>0.65</v>
      </c>
      <c r="F16" s="18" t="n">
        <f aca="false">Hypothèses!F54</f>
        <v>0.7</v>
      </c>
    </row>
    <row r="17" customFormat="false" ht="15" hidden="false" customHeight="false" outlineLevel="0" collapsed="false">
      <c r="A17" s="16" t="s">
        <v>208</v>
      </c>
      <c r="B17" s="25" t="n">
        <f aca="false">SUM(B10:B16)</f>
        <v>4.8</v>
      </c>
      <c r="C17" s="25" t="n">
        <f aca="false">SUM(C10:C16)</f>
        <v>5.27</v>
      </c>
      <c r="D17" s="25" t="n">
        <f aca="false">SUM(D10:D16)</f>
        <v>5.84</v>
      </c>
      <c r="E17" s="25" t="n">
        <f aca="false">SUM(E10:E16)</f>
        <v>6.41</v>
      </c>
      <c r="F17" s="25" t="n">
        <f aca="false">SUM(F10:F16)</f>
        <v>6.98</v>
      </c>
    </row>
    <row r="19" customFormat="false" ht="21.75" hidden="false" customHeight="true" outlineLevel="0" collapsed="false">
      <c r="A19" s="4" t="s">
        <v>209</v>
      </c>
      <c r="B19" s="4"/>
      <c r="C19" s="4"/>
      <c r="D19" s="4"/>
      <c r="E19" s="4"/>
      <c r="F19" s="4"/>
      <c r="G19" s="4"/>
      <c r="H19" s="4"/>
    </row>
    <row r="20" customFormat="false" ht="15" hidden="false" customHeight="false" outlineLevel="0" collapsed="false">
      <c r="A20" s="16" t="s">
        <v>210</v>
      </c>
      <c r="B20" s="20" t="n">
        <f aca="false">B7+B17</f>
        <v>5.0975</v>
      </c>
      <c r="C20" s="20" t="n">
        <f aca="false">C7+C17</f>
        <v>5.606</v>
      </c>
      <c r="D20" s="20" t="n">
        <f aca="false">D7+D17</f>
        <v>6.215</v>
      </c>
      <c r="E20" s="20" t="n">
        <f aca="false">E7+E17</f>
        <v>6.826</v>
      </c>
      <c r="F20" s="20" t="n">
        <f aca="false">F7+F17</f>
        <v>7.4405</v>
      </c>
    </row>
  </sheetData>
  <mergeCells count="4">
    <mergeCell ref="A1:H1"/>
    <mergeCell ref="A4:H4"/>
    <mergeCell ref="A9:H9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211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/>
      <c r="B3" s="9" t="s">
        <v>49</v>
      </c>
      <c r="C3" s="9" t="s">
        <v>50</v>
      </c>
      <c r="D3" s="9" t="s">
        <v>51</v>
      </c>
      <c r="E3" s="9" t="s">
        <v>52</v>
      </c>
      <c r="F3" s="9" t="s">
        <v>53</v>
      </c>
    </row>
    <row r="4" customFormat="false" ht="21.75" hidden="false" customHeight="true" outlineLevel="0" collapsed="false">
      <c r="A4" s="4" t="s">
        <v>212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6" t="s">
        <v>213</v>
      </c>
      <c r="B5" s="18" t="n">
        <f aca="false">Catalogue!B19</f>
        <v>26.5</v>
      </c>
      <c r="C5" s="18" t="n">
        <f aca="false">Catalogue!C19</f>
        <v>30.82</v>
      </c>
      <c r="D5" s="18" t="n">
        <f aca="false">Catalogue!D19</f>
        <v>35.765</v>
      </c>
      <c r="E5" s="18" t="n">
        <f aca="false">Catalogue!E19</f>
        <v>40.91</v>
      </c>
      <c r="F5" s="18" t="n">
        <f aca="false">Catalogue!F19</f>
        <v>47.33</v>
      </c>
    </row>
    <row r="6" customFormat="false" ht="15" hidden="false" customHeight="false" outlineLevel="0" collapsed="false">
      <c r="A6" s="10" t="s">
        <v>214</v>
      </c>
      <c r="B6" s="19" t="n">
        <f aca="false">Stocks!B7</f>
        <v>1.52465753424658</v>
      </c>
      <c r="C6" s="19" t="n">
        <f aca="false">Stocks!C7-Stocks!B7</f>
        <v>0.130334246575342</v>
      </c>
      <c r="D6" s="19" t="n">
        <f aca="false">Stocks!D7-Stocks!C7</f>
        <v>0.059768493150685</v>
      </c>
      <c r="E6" s="19" t="n">
        <f aca="false">Stocks!E7-Stocks!D7</f>
        <v>0.0897630136986303</v>
      </c>
      <c r="F6" s="19" t="n">
        <f aca="false">Stocks!F7-Stocks!E7</f>
        <v>0.192413698630137</v>
      </c>
    </row>
    <row r="7" customFormat="false" ht="15" hidden="false" customHeight="false" outlineLevel="0" collapsed="false">
      <c r="A7" s="16" t="s">
        <v>215</v>
      </c>
      <c r="B7" s="25" t="n">
        <f aca="false">B5+B6</f>
        <v>28.0246575342466</v>
      </c>
      <c r="C7" s="25" t="n">
        <f aca="false">C5+C6</f>
        <v>30.9503342465753</v>
      </c>
      <c r="D7" s="25" t="n">
        <f aca="false">D5+D6</f>
        <v>35.8247684931507</v>
      </c>
      <c r="E7" s="25" t="n">
        <f aca="false">E5+E6</f>
        <v>40.9997630136986</v>
      </c>
      <c r="F7" s="25" t="n">
        <f aca="false">F5+F6</f>
        <v>47.5224136986301</v>
      </c>
    </row>
    <row r="9" customFormat="false" ht="21.75" hidden="false" customHeight="true" outlineLevel="0" collapsed="false">
      <c r="A9" s="4" t="s">
        <v>216</v>
      </c>
      <c r="B9" s="4"/>
      <c r="C9" s="4"/>
      <c r="D9" s="4"/>
      <c r="E9" s="4"/>
      <c r="F9" s="4"/>
      <c r="G9" s="4"/>
      <c r="H9" s="4"/>
    </row>
    <row r="10" customFormat="false" ht="15" hidden="false" customHeight="false" outlineLevel="0" collapsed="false">
      <c r="A10" s="10" t="s">
        <v>217</v>
      </c>
      <c r="B10" s="18" t="n">
        <f aca="false">-'Coûts directs'!B10</f>
        <v>-10.9</v>
      </c>
      <c r="C10" s="18" t="n">
        <f aca="false">-'Coûts directs'!C10</f>
        <v>-12.745</v>
      </c>
      <c r="D10" s="18" t="n">
        <f aca="false">-'Coûts directs'!D10</f>
        <v>-14.865</v>
      </c>
      <c r="E10" s="18" t="n">
        <f aca="false">-'Coûts directs'!E10</f>
        <v>-17.085</v>
      </c>
      <c r="F10" s="18" t="n">
        <f aca="false">-'Coûts directs'!F10</f>
        <v>-19.855</v>
      </c>
    </row>
    <row r="11" customFormat="false" ht="15" hidden="false" customHeight="false" outlineLevel="0" collapsed="false">
      <c r="A11" s="10" t="s">
        <v>218</v>
      </c>
      <c r="B11" s="18" t="n">
        <f aca="false">-'Coûts directs'!B12</f>
        <v>-1.125</v>
      </c>
      <c r="C11" s="18" t="n">
        <f aca="false">-'Coûts directs'!C12</f>
        <v>-1.3395</v>
      </c>
      <c r="D11" s="18" t="n">
        <f aca="false">-'Coûts directs'!D12</f>
        <v>-1.56</v>
      </c>
      <c r="E11" s="18" t="n">
        <f aca="false">-'Coûts directs'!E12</f>
        <v>-1.825</v>
      </c>
      <c r="F11" s="18" t="n">
        <f aca="false">-'Coûts directs'!F12</f>
        <v>-2.158</v>
      </c>
    </row>
    <row r="12" customFormat="false" ht="15" hidden="false" customHeight="false" outlineLevel="0" collapsed="false">
      <c r="A12" s="10" t="s">
        <v>219</v>
      </c>
      <c r="B12" s="18" t="n">
        <f aca="false">-'Coûts directs'!B13</f>
        <v>-0.625</v>
      </c>
      <c r="C12" s="18" t="n">
        <f aca="false">-'Coûts directs'!C13</f>
        <v>-0.741</v>
      </c>
      <c r="D12" s="18" t="n">
        <f aca="false">-'Coûts directs'!D13</f>
        <v>-0.8775</v>
      </c>
      <c r="E12" s="18" t="n">
        <f aca="false">-'Coûts directs'!E13</f>
        <v>-1.022</v>
      </c>
      <c r="F12" s="18" t="n">
        <f aca="false">-'Coûts directs'!F13</f>
        <v>-1.2035</v>
      </c>
    </row>
    <row r="13" customFormat="false" ht="15" hidden="false" customHeight="false" outlineLevel="0" collapsed="false">
      <c r="A13" s="16" t="s">
        <v>220</v>
      </c>
      <c r="B13" s="25" t="n">
        <f aca="false">B7+SUM(B10:B12)</f>
        <v>15.3746575342466</v>
      </c>
      <c r="C13" s="25" t="n">
        <f aca="false">C7+SUM(C10:C12)</f>
        <v>16.1248342465753</v>
      </c>
      <c r="D13" s="25" t="n">
        <f aca="false">D7+SUM(D10:D12)</f>
        <v>18.5222684931507</v>
      </c>
      <c r="E13" s="25" t="n">
        <f aca="false">E7+SUM(E10:E12)</f>
        <v>21.0677630136986</v>
      </c>
      <c r="F13" s="25" t="n">
        <f aca="false">F7+SUM(F10:F12)</f>
        <v>24.3059136986301</v>
      </c>
    </row>
    <row r="15" customFormat="false" ht="21.75" hidden="false" customHeight="true" outlineLevel="0" collapsed="false">
      <c r="A15" s="4" t="s">
        <v>221</v>
      </c>
      <c r="B15" s="4"/>
      <c r="C15" s="4"/>
      <c r="D15" s="4"/>
      <c r="E15" s="4"/>
      <c r="F15" s="4"/>
      <c r="G15" s="4"/>
      <c r="H15" s="4"/>
    </row>
    <row r="16" customFormat="false" ht="15" hidden="false" customHeight="false" outlineLevel="0" collapsed="false">
      <c r="A16" s="10" t="s">
        <v>222</v>
      </c>
      <c r="B16" s="18" t="n">
        <f aca="false">-'Coûts directs'!B11</f>
        <v>-2.125</v>
      </c>
      <c r="C16" s="18" t="n">
        <f aca="false">-'Coûts directs'!C11</f>
        <v>-2.4795</v>
      </c>
      <c r="D16" s="18" t="n">
        <f aca="false">-'Coûts directs'!D11</f>
        <v>-2.8925</v>
      </c>
      <c r="E16" s="18" t="n">
        <f aca="false">-'Coûts directs'!E11</f>
        <v>-3.3215</v>
      </c>
      <c r="F16" s="18" t="n">
        <f aca="false">-'Coûts directs'!F11</f>
        <v>-3.8595</v>
      </c>
    </row>
    <row r="17" customFormat="false" ht="15" hidden="false" customHeight="false" outlineLevel="0" collapsed="false">
      <c r="A17" s="10" t="s">
        <v>223</v>
      </c>
      <c r="B17" s="18" t="n">
        <f aca="false">-'Charges fixes'!B7</f>
        <v>-0.2975</v>
      </c>
      <c r="C17" s="18" t="n">
        <f aca="false">-'Charges fixes'!C7</f>
        <v>-0.336</v>
      </c>
      <c r="D17" s="18" t="n">
        <f aca="false">-'Charges fixes'!D7</f>
        <v>-0.375</v>
      </c>
      <c r="E17" s="18" t="n">
        <f aca="false">-'Charges fixes'!E7</f>
        <v>-0.416</v>
      </c>
      <c r="F17" s="18" t="n">
        <f aca="false">-'Charges fixes'!F7</f>
        <v>-0.4605</v>
      </c>
    </row>
    <row r="18" customFormat="false" ht="15" hidden="false" customHeight="false" outlineLevel="0" collapsed="false">
      <c r="A18" s="16" t="s">
        <v>224</v>
      </c>
      <c r="B18" s="25" t="n">
        <f aca="false">SUM(B16:B17)</f>
        <v>-2.4225</v>
      </c>
      <c r="C18" s="25" t="n">
        <f aca="false">SUM(C16:C17)</f>
        <v>-2.8155</v>
      </c>
      <c r="D18" s="25" t="n">
        <f aca="false">SUM(D16:D17)</f>
        <v>-3.2675</v>
      </c>
      <c r="E18" s="25" t="n">
        <f aca="false">SUM(E16:E17)</f>
        <v>-3.7375</v>
      </c>
      <c r="F18" s="25" t="n">
        <f aca="false">SUM(F16:F17)</f>
        <v>-4.32</v>
      </c>
    </row>
    <row r="20" customFormat="false" ht="21.75" hidden="false" customHeight="true" outlineLevel="0" collapsed="false">
      <c r="A20" s="4" t="s">
        <v>225</v>
      </c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10" t="s">
        <v>226</v>
      </c>
      <c r="B21" s="18" t="n">
        <f aca="false">-'Charges fixes'!B17</f>
        <v>-4.8</v>
      </c>
      <c r="C21" s="18" t="n">
        <f aca="false">-'Charges fixes'!C17</f>
        <v>-5.27</v>
      </c>
      <c r="D21" s="18" t="n">
        <f aca="false">-'Charges fixes'!D17</f>
        <v>-5.84</v>
      </c>
      <c r="E21" s="18" t="n">
        <f aca="false">-'Charges fixes'!E17</f>
        <v>-6.41</v>
      </c>
      <c r="F21" s="18" t="n">
        <f aca="false">-'Charges fixes'!F17</f>
        <v>-6.98</v>
      </c>
    </row>
    <row r="23" customFormat="false" ht="21.75" hidden="false" customHeight="true" outlineLevel="0" collapsed="false">
      <c r="A23" s="4" t="s">
        <v>227</v>
      </c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16" t="s">
        <v>228</v>
      </c>
      <c r="B24" s="20" t="n">
        <f aca="false">B13+B18+B21</f>
        <v>8.15215753424658</v>
      </c>
      <c r="C24" s="20" t="n">
        <f aca="false">C13+C18+C21</f>
        <v>8.03933424657534</v>
      </c>
      <c r="D24" s="20" t="n">
        <f aca="false">D13+D18+D21</f>
        <v>9.41476849315068</v>
      </c>
      <c r="E24" s="20" t="n">
        <f aca="false">E13+E18+E21</f>
        <v>10.9202630136986</v>
      </c>
      <c r="F24" s="20" t="n">
        <f aca="false">F13+F18+F21</f>
        <v>13.0059136986301</v>
      </c>
    </row>
    <row r="25" customFormat="false" ht="15" hidden="false" customHeight="false" outlineLevel="0" collapsed="false">
      <c r="A25" s="10" t="s">
        <v>229</v>
      </c>
      <c r="B25" s="18" t="n">
        <f aca="false">-CAPEX!B10</f>
        <v>-2.7</v>
      </c>
      <c r="C25" s="18" t="n">
        <f aca="false">-CAPEX!C10</f>
        <v>-3.05</v>
      </c>
      <c r="D25" s="18" t="n">
        <f aca="false">-CAPEX!D10</f>
        <v>-3.55</v>
      </c>
      <c r="E25" s="18" t="n">
        <f aca="false">-CAPEX!E10</f>
        <v>-3.95</v>
      </c>
      <c r="F25" s="18" t="n">
        <f aca="false">-CAPEX!F10</f>
        <v>-4.25</v>
      </c>
    </row>
    <row r="26" customFormat="false" ht="15" hidden="false" customHeight="false" outlineLevel="0" collapsed="false">
      <c r="A26" s="16" t="s">
        <v>230</v>
      </c>
      <c r="B26" s="25" t="n">
        <f aca="false">B24+B25</f>
        <v>5.45215753424658</v>
      </c>
      <c r="C26" s="25" t="n">
        <f aca="false">C24+C25</f>
        <v>4.98933424657534</v>
      </c>
      <c r="D26" s="25" t="n">
        <f aca="false">D24+D25</f>
        <v>5.86476849315068</v>
      </c>
      <c r="E26" s="25" t="n">
        <f aca="false">E24+E25</f>
        <v>6.97026301369863</v>
      </c>
      <c r="F26" s="25" t="n">
        <f aca="false">F24+F25</f>
        <v>8.75591369863014</v>
      </c>
    </row>
    <row r="28" customFormat="false" ht="21.75" hidden="false" customHeight="true" outlineLevel="0" collapsed="false">
      <c r="A28" s="4" t="s">
        <v>231</v>
      </c>
      <c r="B28" s="4"/>
      <c r="C28" s="4"/>
      <c r="D28" s="4"/>
      <c r="E28" s="4"/>
      <c r="F28" s="4"/>
      <c r="G28" s="4"/>
      <c r="H28" s="4"/>
    </row>
    <row r="29" customFormat="false" ht="15" hidden="false" customHeight="false" outlineLevel="0" collapsed="false">
      <c r="A29" s="10" t="s">
        <v>232</v>
      </c>
      <c r="B29" s="19" t="n">
        <f aca="false">-Hypothèses!B61*Hypothèses!B62</f>
        <v>-0.6</v>
      </c>
      <c r="C29" s="19" t="n">
        <f aca="false">-Hypothèses!C61*Hypothèses!C62</f>
        <v>-0.525</v>
      </c>
      <c r="D29" s="19" t="n">
        <f aca="false">-Hypothèses!D61*Hypothèses!D62</f>
        <v>-0.42</v>
      </c>
      <c r="E29" s="19" t="n">
        <f aca="false">-Hypothèses!E61*Hypothèses!E62</f>
        <v>-0.35</v>
      </c>
      <c r="F29" s="19" t="n">
        <f aca="false">-Hypothèses!F61*Hypothèses!F62</f>
        <v>-0.28</v>
      </c>
    </row>
    <row r="30" customFormat="false" ht="15" hidden="false" customHeight="false" outlineLevel="0" collapsed="false">
      <c r="A30" s="16" t="s">
        <v>233</v>
      </c>
      <c r="B30" s="25" t="n">
        <f aca="false">B26+B29</f>
        <v>4.85215753424658</v>
      </c>
      <c r="C30" s="25" t="n">
        <f aca="false">C26+C29</f>
        <v>4.46433424657534</v>
      </c>
      <c r="D30" s="25" t="n">
        <f aca="false">D26+D29</f>
        <v>5.44476849315068</v>
      </c>
      <c r="E30" s="25" t="n">
        <f aca="false">E26+E29</f>
        <v>6.62026301369863</v>
      </c>
      <c r="F30" s="25" t="n">
        <f aca="false">F26+F29</f>
        <v>8.47591369863014</v>
      </c>
    </row>
    <row r="31" customFormat="false" ht="15" hidden="false" customHeight="false" outlineLevel="0" collapsed="false">
      <c r="A31" s="10" t="s">
        <v>234</v>
      </c>
      <c r="B31" s="19" t="n">
        <f aca="false">-MAX(B30,0)*Hypothèses!B6</f>
        <v>-1.35860410958904</v>
      </c>
      <c r="C31" s="19" t="n">
        <f aca="false">-MAX(C30,0)*Hypothèses!C6</f>
        <v>-1.2500135890411</v>
      </c>
      <c r="D31" s="19" t="n">
        <f aca="false">-MAX(D30,0)*Hypothèses!D6</f>
        <v>-1.52453517808219</v>
      </c>
      <c r="E31" s="19" t="n">
        <f aca="false">-MAX(E30,0)*Hypothèses!E6</f>
        <v>-1.85367364383562</v>
      </c>
      <c r="F31" s="19" t="n">
        <f aca="false">-MAX(F30,0)*Hypothèses!F6</f>
        <v>-2.37325583561644</v>
      </c>
    </row>
    <row r="32" customFormat="false" ht="15" hidden="false" customHeight="false" outlineLevel="0" collapsed="false">
      <c r="A32" s="16" t="s">
        <v>231</v>
      </c>
      <c r="B32" s="20" t="n">
        <f aca="false">B30+B31</f>
        <v>3.49355342465754</v>
      </c>
      <c r="C32" s="20" t="n">
        <f aca="false">C30+C31</f>
        <v>3.21432065753425</v>
      </c>
      <c r="D32" s="20" t="n">
        <f aca="false">D30+D31</f>
        <v>3.92023331506849</v>
      </c>
      <c r="E32" s="20" t="n">
        <f aca="false">E30+E31</f>
        <v>4.76658936986301</v>
      </c>
      <c r="F32" s="20" t="n">
        <f aca="false">F30+F31</f>
        <v>6.1026578630137</v>
      </c>
    </row>
    <row r="34" customFormat="false" ht="21.75" hidden="false" customHeight="true" outlineLevel="0" collapsed="false">
      <c r="A34" s="4" t="s">
        <v>235</v>
      </c>
      <c r="B34" s="4"/>
      <c r="C34" s="4"/>
      <c r="D34" s="4"/>
      <c r="E34" s="4"/>
      <c r="F34" s="4"/>
      <c r="G34" s="4"/>
      <c r="H34" s="4"/>
    </row>
    <row r="35" customFormat="false" ht="15" hidden="false" customHeight="false" outlineLevel="0" collapsed="false">
      <c r="A35" s="10" t="s">
        <v>236</v>
      </c>
      <c r="B35" s="27" t="n">
        <f aca="false">IFERROR(B24/B5,0)</f>
        <v>0.307628586197984</v>
      </c>
      <c r="C35" s="27" t="n">
        <f aca="false">IFERROR(C24/C5,0)</f>
        <v>0.260847963873308</v>
      </c>
      <c r="D35" s="27" t="n">
        <f aca="false">IFERROR(D24/D5,0)</f>
        <v>0.263239717409498</v>
      </c>
      <c r="E35" s="27" t="n">
        <f aca="false">IFERROR(E24/E5,0)</f>
        <v>0.266933830694173</v>
      </c>
      <c r="F35" s="27" t="n">
        <f aca="false">IFERROR(F24/F5,0)</f>
        <v>0.274792176180649</v>
      </c>
    </row>
    <row r="36" customFormat="false" ht="15" hidden="false" customHeight="false" outlineLevel="0" collapsed="false">
      <c r="A36" s="10" t="s">
        <v>237</v>
      </c>
      <c r="B36" s="27" t="n">
        <f aca="false">IFERROR(B26/B5,0)</f>
        <v>0.205741793745154</v>
      </c>
      <c r="C36" s="27" t="n">
        <f aca="false">IFERROR(C26/C5,0)</f>
        <v>0.161886250700044</v>
      </c>
      <c r="D36" s="27" t="n">
        <f aca="false">IFERROR(D26/D5,0)</f>
        <v>0.163980665263545</v>
      </c>
      <c r="E36" s="27" t="n">
        <f aca="false">IFERROR(E26/E5,0)</f>
        <v>0.170380420769949</v>
      </c>
      <c r="F36" s="27" t="n">
        <f aca="false">IFERROR(F26/F5,0)</f>
        <v>0.184997120190791</v>
      </c>
    </row>
    <row r="37" customFormat="false" ht="15" hidden="false" customHeight="false" outlineLevel="0" collapsed="false">
      <c r="A37" s="16" t="s">
        <v>238</v>
      </c>
      <c r="B37" s="24" t="n">
        <f aca="false">IFERROR(B32/B5,0)</f>
        <v>0.131832204704058</v>
      </c>
      <c r="C37" s="24" t="n">
        <f aca="false">IFERROR(C32/C5,0)</f>
        <v>0.104293337363214</v>
      </c>
      <c r="D37" s="24" t="n">
        <f aca="false">IFERROR(D32/D5,0)</f>
        <v>0.1096108853647</v>
      </c>
      <c r="E37" s="24" t="n">
        <f aca="false">IFERROR(E32/E5,0)</f>
        <v>0.116514039840211</v>
      </c>
      <c r="F37" s="24" t="n">
        <f aca="false">IFERROR(F32/F5,0)</f>
        <v>0.12893847164618</v>
      </c>
    </row>
  </sheetData>
  <mergeCells count="8">
    <mergeCell ref="A1:H1"/>
    <mergeCell ref="A4:H4"/>
    <mergeCell ref="A9:H9"/>
    <mergeCell ref="A15:H15"/>
    <mergeCell ref="A20:H20"/>
    <mergeCell ref="A23:H23"/>
    <mergeCell ref="A28:H28"/>
    <mergeCell ref="A34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239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/>
      <c r="B3" s="9" t="s">
        <v>49</v>
      </c>
      <c r="C3" s="9" t="s">
        <v>50</v>
      </c>
      <c r="D3" s="9" t="s">
        <v>51</v>
      </c>
      <c r="E3" s="9" t="s">
        <v>52</v>
      </c>
      <c r="F3" s="9" t="s">
        <v>53</v>
      </c>
    </row>
    <row r="4" customFormat="false" ht="21.75" hidden="false" customHeight="true" outlineLevel="0" collapsed="false">
      <c r="A4" s="4" t="s">
        <v>240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0" t="s">
        <v>241</v>
      </c>
      <c r="B5" s="18" t="n">
        <f aca="false">CAPEX!B15</f>
        <v>19.3</v>
      </c>
      <c r="C5" s="18" t="n">
        <f aca="false">CAPEX!C15</f>
        <v>19.75</v>
      </c>
      <c r="D5" s="18" t="n">
        <f aca="false">CAPEX!D15</f>
        <v>21.2</v>
      </c>
      <c r="E5" s="18" t="n">
        <f aca="false">CAPEX!E15</f>
        <v>21.25</v>
      </c>
      <c r="F5" s="18" t="n">
        <f aca="false">CAPEX!F15</f>
        <v>20</v>
      </c>
    </row>
    <row r="6" customFormat="false" ht="15" hidden="false" customHeight="false" outlineLevel="0" collapsed="false">
      <c r="A6" s="10" t="s">
        <v>242</v>
      </c>
      <c r="B6" s="18" t="n">
        <f aca="false">Stocks!B8</f>
        <v>3.16712328767123</v>
      </c>
      <c r="C6" s="18" t="n">
        <f aca="false">Stocks!C8</f>
        <v>3.40088219178082</v>
      </c>
      <c r="D6" s="18" t="n">
        <f aca="false">Stocks!D8</f>
        <v>3.62888356164384</v>
      </c>
      <c r="E6" s="18" t="n">
        <f aca="false">Stocks!E8</f>
        <v>3.81727671232877</v>
      </c>
      <c r="F6" s="18" t="n">
        <f aca="false">Stocks!F8</f>
        <v>4.33601917808219</v>
      </c>
    </row>
    <row r="7" customFormat="false" ht="15" hidden="false" customHeight="false" outlineLevel="0" collapsed="false">
      <c r="A7" s="10" t="s">
        <v>243</v>
      </c>
      <c r="B7" s="19" t="n">
        <f aca="false">Catalogue!B19*Hypothèses!B36/365</f>
        <v>4.35616438356164</v>
      </c>
      <c r="C7" s="19" t="n">
        <f aca="false">Catalogue!C19*Hypothèses!C36/365</f>
        <v>4.6441095890411</v>
      </c>
      <c r="D7" s="19" t="n">
        <f aca="false">Catalogue!D19*Hypothèses!D36/365</f>
        <v>4.89931506849315</v>
      </c>
      <c r="E7" s="19" t="n">
        <f aca="false">Catalogue!E19*Hypothèses!E36/365</f>
        <v>5.37994520547945</v>
      </c>
      <c r="F7" s="19" t="n">
        <f aca="false">Catalogue!F19*Hypothèses!F36/365</f>
        <v>5.83520547945205</v>
      </c>
    </row>
    <row r="8" customFormat="false" ht="15" hidden="false" customHeight="false" outlineLevel="0" collapsed="false">
      <c r="A8" s="10" t="s">
        <v>244</v>
      </c>
      <c r="B8" s="28" t="n">
        <f aca="false">B18-B5-B6-B7</f>
        <v>0.179779733533496</v>
      </c>
      <c r="C8" s="28" t="n">
        <f aca="false">C18-C5-C6-C7</f>
        <v>0.442636690561081</v>
      </c>
      <c r="D8" s="28" t="n">
        <f aca="false">D18-D5-D6-D7</f>
        <v>0.578102980972043</v>
      </c>
      <c r="E8" s="28" t="n">
        <f aca="false">E18-E5-E6-E7</f>
        <v>8.32385515166072</v>
      </c>
      <c r="F8" s="28" t="n">
        <f aca="false">F18-F5-F6-F7</f>
        <v>12.1589465855508</v>
      </c>
    </row>
    <row r="9" customFormat="false" ht="15" hidden="false" customHeight="false" outlineLevel="0" collapsed="false">
      <c r="A9" s="16" t="s">
        <v>245</v>
      </c>
      <c r="B9" s="20" t="n">
        <f aca="false">B5+B6+B7+B8</f>
        <v>27.0030674047664</v>
      </c>
      <c r="C9" s="20" t="n">
        <f aca="false">C5+C6+C7+C8</f>
        <v>28.237628471383</v>
      </c>
      <c r="D9" s="20" t="n">
        <f aca="false">D5+D6+D7+D8</f>
        <v>30.306301611109</v>
      </c>
      <c r="E9" s="20" t="n">
        <f aca="false">E5+E6+E7+E8</f>
        <v>38.7710770694689</v>
      </c>
      <c r="F9" s="20" t="n">
        <f aca="false">F5+F6+F7+F8</f>
        <v>42.330171243085</v>
      </c>
    </row>
    <row r="11" customFormat="false" ht="21.75" hidden="false" customHeight="true" outlineLevel="0" collapsed="false">
      <c r="A11" s="4" t="s">
        <v>246</v>
      </c>
      <c r="B11" s="4"/>
      <c r="C11" s="4"/>
      <c r="D11" s="4"/>
      <c r="E11" s="4"/>
      <c r="F11" s="4"/>
      <c r="G11" s="4"/>
      <c r="H11" s="4"/>
    </row>
    <row r="12" customFormat="false" ht="15" hidden="false" customHeight="false" outlineLevel="0" collapsed="false">
      <c r="A12" s="10" t="s">
        <v>247</v>
      </c>
      <c r="B12" s="18" t="n">
        <f aca="false">Hypothèses!B60</f>
        <v>12</v>
      </c>
      <c r="C12" s="18" t="n">
        <f aca="false">Hypothèses!C60</f>
        <v>12</v>
      </c>
      <c r="D12" s="18" t="n">
        <f aca="false">Hypothèses!D60</f>
        <v>12</v>
      </c>
      <c r="E12" s="18" t="n">
        <f aca="false">Hypothèses!E60</f>
        <v>18</v>
      </c>
      <c r="F12" s="18" t="n">
        <f aca="false">Hypothèses!F60</f>
        <v>18</v>
      </c>
    </row>
    <row r="13" customFormat="false" ht="15" hidden="false" customHeight="false" outlineLevel="0" collapsed="false">
      <c r="A13" s="10" t="s">
        <v>248</v>
      </c>
      <c r="B13" s="14" t="n">
        <v>2</v>
      </c>
      <c r="C13" s="19" t="n">
        <f aca="false">B13+P_L!B32*(1-Hypothèses!B63)</f>
        <v>4.44548739726027</v>
      </c>
      <c r="D13" s="19" t="n">
        <f aca="false">C13+P_L!C32*(1-Hypothèses!C63)</f>
        <v>6.53479582465754</v>
      </c>
      <c r="E13" s="19" t="n">
        <f aca="false">D13+P_L!D32*(1-Hypothèses!D63)</f>
        <v>8.88693581369863</v>
      </c>
      <c r="F13" s="19" t="n">
        <f aca="false">E13+P_L!E32*(1-Hypothèses!E63)</f>
        <v>11.7468894356164</v>
      </c>
    </row>
    <row r="14" customFormat="false" ht="15" hidden="false" customHeight="false" outlineLevel="0" collapsed="false">
      <c r="A14" s="10" t="s">
        <v>249</v>
      </c>
      <c r="B14" s="18" t="n">
        <f aca="false">P_L!B32</f>
        <v>3.49355342465754</v>
      </c>
      <c r="C14" s="18" t="n">
        <f aca="false">P_L!C32</f>
        <v>3.21432065753425</v>
      </c>
      <c r="D14" s="18" t="n">
        <f aca="false">P_L!D32</f>
        <v>3.92023331506849</v>
      </c>
      <c r="E14" s="18" t="n">
        <f aca="false">P_L!E32</f>
        <v>4.76658936986301</v>
      </c>
      <c r="F14" s="18" t="n">
        <f aca="false">P_L!F32</f>
        <v>6.1026578630137</v>
      </c>
    </row>
    <row r="15" customFormat="false" ht="15" hidden="false" customHeight="false" outlineLevel="0" collapsed="false">
      <c r="A15" s="16" t="s">
        <v>250</v>
      </c>
      <c r="B15" s="25" t="n">
        <f aca="false">B12+B13+B14</f>
        <v>17.4935534246575</v>
      </c>
      <c r="C15" s="25" t="n">
        <f aca="false">C12+C13+C14</f>
        <v>19.6598080547945</v>
      </c>
      <c r="D15" s="25" t="n">
        <f aca="false">D12+D13+D14</f>
        <v>22.455029139726</v>
      </c>
      <c r="E15" s="25" t="n">
        <f aca="false">E12+E13+E14</f>
        <v>31.6535251835616</v>
      </c>
      <c r="F15" s="25" t="n">
        <f aca="false">F12+F13+F14</f>
        <v>35.8495472986301</v>
      </c>
    </row>
    <row r="16" customFormat="false" ht="15" hidden="false" customHeight="false" outlineLevel="0" collapsed="false">
      <c r="A16" s="10" t="s">
        <v>251</v>
      </c>
      <c r="B16" s="18" t="n">
        <f aca="false">Hypothèses!B61</f>
        <v>8</v>
      </c>
      <c r="C16" s="18" t="n">
        <f aca="false">Hypothèses!C61</f>
        <v>7</v>
      </c>
      <c r="D16" s="18" t="n">
        <f aca="false">Hypothèses!D61</f>
        <v>6</v>
      </c>
      <c r="E16" s="18" t="n">
        <f aca="false">Hypothèses!E61</f>
        <v>5</v>
      </c>
      <c r="F16" s="18" t="n">
        <f aca="false">Hypothèses!F61</f>
        <v>4</v>
      </c>
    </row>
    <row r="17" customFormat="false" ht="15" hidden="false" customHeight="false" outlineLevel="0" collapsed="false">
      <c r="A17" s="10" t="s">
        <v>252</v>
      </c>
      <c r="B17" s="19" t="n">
        <f aca="false">'Achats MP'!B15*Hypothèses!B37/365</f>
        <v>1.50951398010884</v>
      </c>
      <c r="C17" s="19" t="n">
        <f aca="false">'Achats MP'!C15*Hypothèses!C37/365</f>
        <v>1.57782041658848</v>
      </c>
      <c r="D17" s="19" t="n">
        <f aca="false">'Achats MP'!D15*Hypothèses!D37/365</f>
        <v>1.851272471383</v>
      </c>
      <c r="E17" s="19" t="n">
        <f aca="false">'Achats MP'!E15*Hypothèses!E37/365</f>
        <v>2.1175518859073</v>
      </c>
      <c r="F17" s="19" t="n">
        <f aca="false">'Achats MP'!F15*Hypothèses!F37/365</f>
        <v>2.48062394445487</v>
      </c>
    </row>
    <row r="18" customFormat="false" ht="15" hidden="false" customHeight="false" outlineLevel="0" collapsed="false">
      <c r="A18" s="16" t="s">
        <v>253</v>
      </c>
      <c r="B18" s="20" t="n">
        <f aca="false">B15+B16+B17</f>
        <v>27.0030674047664</v>
      </c>
      <c r="C18" s="20" t="n">
        <f aca="false">C15+C16+C17</f>
        <v>28.237628471383</v>
      </c>
      <c r="D18" s="20" t="n">
        <f aca="false">D15+D16+D17</f>
        <v>30.306301611109</v>
      </c>
      <c r="E18" s="20" t="n">
        <f aca="false">E15+E16+E17</f>
        <v>38.7710770694689</v>
      </c>
      <c r="F18" s="20" t="n">
        <f aca="false">F15+F16+F17</f>
        <v>42.330171243085</v>
      </c>
    </row>
    <row r="20" customFormat="false" ht="21.75" hidden="false" customHeight="true" outlineLevel="0" collapsed="false">
      <c r="A20" s="4" t="s">
        <v>254</v>
      </c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16" t="s">
        <v>255</v>
      </c>
      <c r="B21" s="29" t="n">
        <f aca="false">B9-B18</f>
        <v>0</v>
      </c>
      <c r="C21" s="29" t="n">
        <f aca="false">C9-C18</f>
        <v>0</v>
      </c>
      <c r="D21" s="29" t="n">
        <f aca="false">D9-D18</f>
        <v>0</v>
      </c>
      <c r="E21" s="29" t="n">
        <f aca="false">E9-E18</f>
        <v>0</v>
      </c>
      <c r="F21" s="29" t="n">
        <f aca="false">F9-F18</f>
        <v>0</v>
      </c>
    </row>
  </sheetData>
  <mergeCells count="4">
    <mergeCell ref="A1:H1"/>
    <mergeCell ref="A4:H4"/>
    <mergeCell ref="A11:H11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256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/>
      <c r="B3" s="9" t="s">
        <v>49</v>
      </c>
      <c r="C3" s="9" t="s">
        <v>50</v>
      </c>
      <c r="D3" s="9" t="s">
        <v>51</v>
      </c>
      <c r="E3" s="9" t="s">
        <v>52</v>
      </c>
      <c r="F3" s="9" t="s">
        <v>53</v>
      </c>
    </row>
    <row r="4" customFormat="false" ht="21.75" hidden="false" customHeight="true" outlineLevel="0" collapsed="false">
      <c r="A4" s="4" t="s">
        <v>257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0" t="s">
        <v>258</v>
      </c>
      <c r="B5" s="18" t="n">
        <f aca="false">Stocks!B8</f>
        <v>3.16712328767123</v>
      </c>
      <c r="C5" s="18" t="n">
        <f aca="false">Stocks!C8</f>
        <v>3.40088219178082</v>
      </c>
      <c r="D5" s="18" t="n">
        <f aca="false">Stocks!D8</f>
        <v>3.62888356164384</v>
      </c>
      <c r="E5" s="18" t="n">
        <f aca="false">Stocks!E8</f>
        <v>3.81727671232877</v>
      </c>
      <c r="F5" s="18" t="n">
        <f aca="false">Stocks!F8</f>
        <v>4.33601917808219</v>
      </c>
    </row>
    <row r="6" customFormat="false" ht="15" hidden="false" customHeight="false" outlineLevel="0" collapsed="false">
      <c r="A6" s="10" t="s">
        <v>259</v>
      </c>
      <c r="B6" s="18" t="n">
        <f aca="false">Bilan!B7</f>
        <v>4.35616438356164</v>
      </c>
      <c r="C6" s="18" t="n">
        <f aca="false">Bilan!C7</f>
        <v>4.6441095890411</v>
      </c>
      <c r="D6" s="18" t="n">
        <f aca="false">Bilan!D7</f>
        <v>4.89931506849315</v>
      </c>
      <c r="E6" s="18" t="n">
        <f aca="false">Bilan!E7</f>
        <v>5.37994520547945</v>
      </c>
      <c r="F6" s="18" t="n">
        <f aca="false">Bilan!F7</f>
        <v>5.83520547945205</v>
      </c>
    </row>
    <row r="7" customFormat="false" ht="15" hidden="false" customHeight="false" outlineLevel="0" collapsed="false">
      <c r="A7" s="10" t="s">
        <v>260</v>
      </c>
      <c r="B7" s="18" t="n">
        <f aca="false">-Bilan!B17</f>
        <v>-1.50951398010884</v>
      </c>
      <c r="C7" s="18" t="n">
        <f aca="false">-Bilan!C17</f>
        <v>-1.57782041658848</v>
      </c>
      <c r="D7" s="18" t="n">
        <f aca="false">-Bilan!D17</f>
        <v>-1.851272471383</v>
      </c>
      <c r="E7" s="18" t="n">
        <f aca="false">-Bilan!E17</f>
        <v>-2.1175518859073</v>
      </c>
      <c r="F7" s="18" t="n">
        <f aca="false">-Bilan!F17</f>
        <v>-2.48062394445487</v>
      </c>
    </row>
    <row r="8" customFormat="false" ht="15" hidden="false" customHeight="false" outlineLevel="0" collapsed="false">
      <c r="A8" s="16" t="s">
        <v>261</v>
      </c>
      <c r="B8" s="25" t="n">
        <f aca="false">B5+B6+B7</f>
        <v>6.01377369112404</v>
      </c>
      <c r="C8" s="25" t="n">
        <f aca="false">C5+C6+C7</f>
        <v>6.46717136423344</v>
      </c>
      <c r="D8" s="25" t="n">
        <f aca="false">D5+D6+D7</f>
        <v>6.67692615875399</v>
      </c>
      <c r="E8" s="25" t="n">
        <f aca="false">E5+E6+E7</f>
        <v>7.07967003190092</v>
      </c>
      <c r="F8" s="25" t="n">
        <f aca="false">F5+F6+F7</f>
        <v>7.69060071307938</v>
      </c>
    </row>
    <row r="9" customFormat="false" ht="15" hidden="false" customHeight="false" outlineLevel="0" collapsed="false">
      <c r="A9" s="16" t="s">
        <v>262</v>
      </c>
      <c r="B9" s="26" t="n">
        <f aca="false">IFERROR(B8*365/Catalogue!B19,0)</f>
        <v>82.8312225381235</v>
      </c>
      <c r="C9" s="26" t="n">
        <f aca="false">IFERROR(C8*365/Catalogue!C19,0)</f>
        <v>76.5904460722</v>
      </c>
      <c r="D9" s="26" t="n">
        <f aca="false">IFERROR(D8*365/Catalogue!D19,0)</f>
        <v>68.1414245196478</v>
      </c>
      <c r="E9" s="26" t="n">
        <f aca="false">IFERROR(E8*365/Catalogue!E19,0)</f>
        <v>63.16498561828</v>
      </c>
      <c r="F9" s="26" t="n">
        <f aca="false">IFERROR(F8*365/Catalogue!F19,0)</f>
        <v>59.3084567985204</v>
      </c>
    </row>
    <row r="11" customFormat="false" ht="21.75" hidden="false" customHeight="true" outlineLevel="0" collapsed="false">
      <c r="A11" s="4" t="s">
        <v>263</v>
      </c>
      <c r="B11" s="4"/>
      <c r="C11" s="4"/>
      <c r="D11" s="4"/>
      <c r="E11" s="4"/>
      <c r="F11" s="4"/>
      <c r="G11" s="4"/>
      <c r="H11" s="4"/>
    </row>
    <row r="12" customFormat="false" ht="15" hidden="false" customHeight="false" outlineLevel="0" collapsed="false">
      <c r="A12" s="10" t="s">
        <v>264</v>
      </c>
      <c r="B12" s="18" t="n">
        <f aca="false">P_L!B24</f>
        <v>8.15215753424658</v>
      </c>
      <c r="C12" s="18" t="n">
        <f aca="false">P_L!C24</f>
        <v>8.03933424657534</v>
      </c>
      <c r="D12" s="18" t="n">
        <f aca="false">P_L!D24</f>
        <v>9.41476849315068</v>
      </c>
      <c r="E12" s="18" t="n">
        <f aca="false">P_L!E24</f>
        <v>10.9202630136986</v>
      </c>
      <c r="F12" s="18" t="n">
        <f aca="false">P_L!F24</f>
        <v>13.0059136986301</v>
      </c>
    </row>
    <row r="13" customFormat="false" ht="15" hidden="false" customHeight="false" outlineLevel="0" collapsed="false">
      <c r="A13" s="10" t="s">
        <v>265</v>
      </c>
      <c r="B13" s="19" t="n">
        <f aca="false">-B8</f>
        <v>-6.01377369112404</v>
      </c>
      <c r="C13" s="19" t="n">
        <f aca="false">-(C8-B8)</f>
        <v>-0.453397673109401</v>
      </c>
      <c r="D13" s="19" t="n">
        <f aca="false">-(D8-C8)</f>
        <v>-0.209754794520548</v>
      </c>
      <c r="E13" s="19" t="n">
        <f aca="false">-(E8-D8)</f>
        <v>-0.402743873146931</v>
      </c>
      <c r="F13" s="19" t="n">
        <f aca="false">-(F8-E8)</f>
        <v>-0.610930681178459</v>
      </c>
    </row>
    <row r="14" customFormat="false" ht="15" hidden="false" customHeight="false" outlineLevel="0" collapsed="false">
      <c r="A14" s="10" t="s">
        <v>266</v>
      </c>
      <c r="B14" s="18" t="n">
        <f aca="false">-CAPEX!B6</f>
        <v>-2</v>
      </c>
      <c r="C14" s="18" t="n">
        <f aca="false">-CAPEX!C6</f>
        <v>-3.5</v>
      </c>
      <c r="D14" s="18" t="n">
        <f aca="false">-CAPEX!D6</f>
        <v>-5</v>
      </c>
      <c r="E14" s="18" t="n">
        <f aca="false">-CAPEX!E6</f>
        <v>-4</v>
      </c>
      <c r="F14" s="18" t="n">
        <f aca="false">-CAPEX!F6</f>
        <v>-3</v>
      </c>
    </row>
    <row r="15" customFormat="false" ht="15" hidden="false" customHeight="false" outlineLevel="0" collapsed="false">
      <c r="A15" s="10" t="s">
        <v>267</v>
      </c>
      <c r="B15" s="18" t="n">
        <f aca="false">P_L!B31</f>
        <v>-1.35860410958904</v>
      </c>
      <c r="C15" s="18" t="n">
        <f aca="false">P_L!C31</f>
        <v>-1.2500135890411</v>
      </c>
      <c r="D15" s="18" t="n">
        <f aca="false">P_L!D31</f>
        <v>-1.52453517808219</v>
      </c>
      <c r="E15" s="18" t="n">
        <f aca="false">P_L!E31</f>
        <v>-1.85367364383562</v>
      </c>
      <c r="F15" s="18" t="n">
        <f aca="false">P_L!F31</f>
        <v>-2.37325583561644</v>
      </c>
    </row>
    <row r="16" customFormat="false" ht="15" hidden="false" customHeight="false" outlineLevel="0" collapsed="false">
      <c r="A16" s="16" t="s">
        <v>268</v>
      </c>
      <c r="B16" s="20" t="n">
        <f aca="false">B12+B13+B14+B15</f>
        <v>-1.2202202664665</v>
      </c>
      <c r="C16" s="20" t="n">
        <f aca="false">C12+C13+C14+C15</f>
        <v>2.83592298442485</v>
      </c>
      <c r="D16" s="20" t="n">
        <f aca="false">D12+D13+D14+D15</f>
        <v>2.68047852054794</v>
      </c>
      <c r="E16" s="20" t="n">
        <f aca="false">E12+E13+E14+E15</f>
        <v>4.66384549671608</v>
      </c>
      <c r="F16" s="20" t="n">
        <f aca="false">F12+F13+F14+F15</f>
        <v>7.02172718183524</v>
      </c>
    </row>
    <row r="18" customFormat="false" ht="21.75" hidden="false" customHeight="true" outlineLevel="0" collapsed="false">
      <c r="A18" s="4" t="s">
        <v>269</v>
      </c>
      <c r="B18" s="4"/>
      <c r="C18" s="4"/>
      <c r="D18" s="4"/>
      <c r="E18" s="4"/>
      <c r="F18" s="4"/>
      <c r="G18" s="4"/>
      <c r="H18" s="4"/>
    </row>
    <row r="19" customFormat="false" ht="15" hidden="false" customHeight="false" outlineLevel="0" collapsed="false">
      <c r="A19" s="16" t="s">
        <v>270</v>
      </c>
      <c r="B19" s="21" t="n">
        <f aca="false">Hypothèses!B21</f>
        <v>0.65</v>
      </c>
      <c r="C19" s="21" t="n">
        <f aca="false">Hypothèses!C21</f>
        <v>0.68</v>
      </c>
      <c r="D19" s="21" t="n">
        <f aca="false">Hypothèses!D21</f>
        <v>0.72</v>
      </c>
      <c r="E19" s="21" t="n">
        <f aca="false">Hypothèses!E21</f>
        <v>0.75</v>
      </c>
      <c r="F19" s="21" t="n">
        <f aca="false">Hypothèses!F21</f>
        <v>0.78</v>
      </c>
    </row>
    <row r="20" customFormat="false" ht="15" hidden="false" customHeight="false" outlineLevel="0" collapsed="false">
      <c r="A20" s="10" t="s">
        <v>271</v>
      </c>
      <c r="B20" s="27" t="n">
        <f aca="false">IFERROR(Catalogue!B8/Hypothèses!B20,0)</f>
        <v>0.714285714285714</v>
      </c>
      <c r="C20" s="27" t="n">
        <f aca="false">IFERROR(Catalogue!C8/Hypothèses!C20,0)</f>
        <v>0.814285714285714</v>
      </c>
      <c r="D20" s="27" t="n">
        <f aca="false">IFERROR(Catalogue!D8/Hypothèses!D20,0)</f>
        <v>0.8125</v>
      </c>
      <c r="E20" s="27" t="n">
        <f aca="false">IFERROR(Catalogue!E8/Hypothèses!E20,0)</f>
        <v>0.811111111111111</v>
      </c>
      <c r="F20" s="27" t="n">
        <f aca="false">IFERROR(Catalogue!F8/Hypothèses!F20,0)</f>
        <v>0.83</v>
      </c>
    </row>
    <row r="21" customFormat="false" ht="15" hidden="false" customHeight="false" outlineLevel="0" collapsed="false">
      <c r="A21" s="10" t="s">
        <v>272</v>
      </c>
      <c r="B21" s="27" t="n">
        <f aca="false">IFERROR('Coûts directs'!B17/Catalogue!B19,0)</f>
        <v>0.442452830188679</v>
      </c>
      <c r="C21" s="27" t="n">
        <f aca="false">IFERROR('Coûts directs'!C17/Catalogue!C19,0)</f>
        <v>0.438513951979234</v>
      </c>
      <c r="D21" s="27" t="n">
        <f aca="false">IFERROR('Coûts directs'!D17/Catalogue!D19,0)</f>
        <v>0.435341814623235</v>
      </c>
      <c r="E21" s="27" t="n">
        <f aca="false">IFERROR('Coûts directs'!E17/Catalogue!E19,0)</f>
        <v>0.431593742361281</v>
      </c>
      <c r="F21" s="27" t="n">
        <f aca="false">IFERROR('Coûts directs'!F17/Catalogue!F19,0)</f>
        <v>0.427931544474963</v>
      </c>
    </row>
    <row r="22" customFormat="false" ht="15" hidden="false" customHeight="false" outlineLevel="0" collapsed="false">
      <c r="A22" s="16" t="s">
        <v>236</v>
      </c>
      <c r="B22" s="24" t="n">
        <f aca="false">IFERROR(P_L!B24/P_L!B5,0)</f>
        <v>0.307628586197984</v>
      </c>
      <c r="C22" s="24" t="n">
        <f aca="false">IFERROR(P_L!C24/P_L!C5,0)</f>
        <v>0.260847963873308</v>
      </c>
      <c r="D22" s="24" t="n">
        <f aca="false">IFERROR(P_L!D24/P_L!D5,0)</f>
        <v>0.263239717409498</v>
      </c>
      <c r="E22" s="24" t="n">
        <f aca="false">IFERROR(P_L!E24/P_L!E5,0)</f>
        <v>0.266933830694173</v>
      </c>
      <c r="F22" s="24" t="n">
        <f aca="false">IFERROR(P_L!F24/P_L!F5,0)</f>
        <v>0.274792176180649</v>
      </c>
    </row>
    <row r="23" customFormat="false" ht="15" hidden="false" customHeight="false" outlineLevel="0" collapsed="false">
      <c r="A23" s="10" t="s">
        <v>273</v>
      </c>
      <c r="B23" s="27" t="n">
        <f aca="false">IFERROR(P_L!B26/(Bilan!B15+Bilan!B16),0)</f>
        <v>0.213864165713879</v>
      </c>
      <c r="C23" s="27" t="n">
        <f aca="false">IFERROR(P_L!C26/(Bilan!C15+Bilan!C16),0)</f>
        <v>0.187148168370929</v>
      </c>
      <c r="D23" s="27" t="n">
        <f aca="false">IFERROR(P_L!D26/(Bilan!D15+Bilan!D16),0)</f>
        <v>0.206106571332337</v>
      </c>
      <c r="E23" s="27" t="n">
        <f aca="false">IFERROR(P_L!E26/(Bilan!E15+Bilan!E16),0)</f>
        <v>0.190166238548445</v>
      </c>
      <c r="F23" s="27" t="n">
        <f aca="false">IFERROR(P_L!F26/(Bilan!F15+Bilan!F16),0)</f>
        <v>0.219724295310404</v>
      </c>
    </row>
    <row r="24" customFormat="false" ht="15" hidden="false" customHeight="false" outlineLevel="0" collapsed="false">
      <c r="A24" s="10" t="s">
        <v>274</v>
      </c>
      <c r="B24" s="27" t="n">
        <f aca="false">IFERROR(P_L!B32/Bilan!B15,0)</f>
        <v>0.199705190812365</v>
      </c>
      <c r="C24" s="27" t="n">
        <f aca="false">IFERROR(P_L!C32/((Bilan!B15+Bilan!C15)/2),0)</f>
        <v>0.173029870221135</v>
      </c>
      <c r="D24" s="27" t="n">
        <f aca="false">IFERROR(P_L!D32/((Bilan!C15+Bilan!D15)/2),0)</f>
        <v>0.186168750787836</v>
      </c>
      <c r="E24" s="27" t="n">
        <f aca="false">IFERROR(P_L!E32/((Bilan!D15+Bilan!E15)/2),0)</f>
        <v>0.176186166105404</v>
      </c>
      <c r="F24" s="27" t="n">
        <f aca="false">IFERROR(P_L!F32/((Bilan!E15+Bilan!F15)/2),0)</f>
        <v>0.180811262024367</v>
      </c>
    </row>
    <row r="25" customFormat="false" ht="15" hidden="false" customHeight="false" outlineLevel="0" collapsed="false">
      <c r="A25" s="10" t="s">
        <v>275</v>
      </c>
      <c r="B25" s="19" t="n">
        <f aca="false">IFERROR('Charges fixes'!B20/((Catalogue!B19-'Coûts directs'!B14)/Catalogue!B19),0)</f>
        <v>11.5210021321962</v>
      </c>
      <c r="C25" s="19" t="n">
        <f aca="false">IFERROR('Charges fixes'!C20/((Catalogue!C19-'Coûts directs'!C14)/Catalogue!C19),0)</f>
        <v>12.7840858305586</v>
      </c>
      <c r="D25" s="19" t="n">
        <f aca="false">IFERROR('Charges fixes'!D20/((Catalogue!D19-'Coûts directs'!D14)/Catalogue!D19),0)</f>
        <v>14.2761384071933</v>
      </c>
      <c r="E25" s="19" t="n">
        <f aca="false">IFERROR('Charges fixes'!E20/((Catalogue!E19-'Coûts directs'!E14)/Catalogue!E19),0)</f>
        <v>15.8157992807182</v>
      </c>
      <c r="F25" s="19" t="n">
        <f aca="false">IFERROR('Charges fixes'!F20/((Catalogue!F19-'Coûts directs'!F14)/Catalogue!F19),0)</f>
        <v>17.387126740397</v>
      </c>
    </row>
  </sheetData>
  <mergeCells count="4">
    <mergeCell ref="A1:H1"/>
    <mergeCell ref="A4:H4"/>
    <mergeCell ref="A11:H11"/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2026-05-11T18:14:54Z</dcterms:created>
  <dc:creator>openpyxl</dc:creator>
  <dc:description/>
  <dc:language>en-US</dc:language>
  <cp:lastModifiedBy/>
  <dcterms:modified xsi:type="dcterms:W3CDTF">2026-05-11T18:14:54Z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