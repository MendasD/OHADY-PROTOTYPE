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Notice" sheetId="1" state="visible" r:id="rId3"/>
    <sheet name="2. Hypothèses" sheetId="2" state="visible" r:id="rId4"/>
    <sheet name="3. Revenus" sheetId="3" state="visible" r:id="rId5"/>
    <sheet name="4. Coûts variables" sheetId="4" state="visible" r:id="rId6"/>
    <sheet name="5. Charges fixes" sheetId="5" state="visible" r:id="rId7"/>
    <sheet name="6. CAPEX &amp; Amort." sheetId="6" state="visible" r:id="rId8"/>
    <sheet name="7. P&amp;L" sheetId="7" state="visible" r:id="rId9"/>
    <sheet name="8. Trésorerie" sheetId="8" state="visible" r:id="rId10"/>
    <sheet name="9. KPIs Dashboard" sheetId="9" state="visible" r:id="rId11"/>
    <sheet name="10. Scénari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<sst xmlns="http://schemas.openxmlformats.org/spreadsheetml/2006/main" count="577" uniqueCount="392">
  <si>
    <t xml:space="preserve">MODÈLE FINANCIER FINTECH — Notice d'utilisation</t>
  </si>
  <si>
    <t xml:space="preserve">Objet du modèle</t>
  </si>
  <si>
    <t xml:space="preserve">Ce classeur modélise les revenus, charges et indicateurs de rentabilité d'une startup fintech</t>
  </si>
  <si>
    <t xml:space="preserve">opérant en zone UEMOA/CEMAC, sur 3 lignes de produits :</t>
  </si>
  <si>
    <t xml:space="preserve">  • Transferts agent : Bank-to-Wallet (B2W) et Wallet-to-Bank (W2B)</t>
  </si>
  <si>
    <t xml:space="preserve">  • Carte bancaire intégrée (émission, encours, transactions)</t>
  </si>
  <si>
    <t xml:space="preserve">  • Achat de services (paiement marchand, bill payment, top-up)</t>
  </si>
  <si>
    <t xml:space="preserve">Horizon : 36 mois (Année 1 mensuelle + Années 2 et 3 trimestrielles consolidées)</t>
  </si>
  <si>
    <t xml:space="preserve">Structure du classeur</t>
  </si>
  <si>
    <t xml:space="preserve">Feuille</t>
  </si>
  <si>
    <t xml:space="preserve">Description</t>
  </si>
  <si>
    <t xml:space="preserve">1. Notice</t>
  </si>
  <si>
    <t xml:space="preserve">Mode d'emploi et conventions</t>
  </si>
  <si>
    <t xml:space="preserve">2. Hypothèses</t>
  </si>
  <si>
    <t xml:space="preserve">TOUTES les hypothèses pilotables (volumes, tarifs, coûts unitaires, %)</t>
  </si>
  <si>
    <t xml:space="preserve">3. Revenus</t>
  </si>
  <si>
    <t xml:space="preserve">Modélisation détaillée du chiffre d'affaires par ligne de produit</t>
  </si>
  <si>
    <t xml:space="preserve">4. Coûts variables</t>
  </si>
  <si>
    <t xml:space="preserve">Coûts directs proportionnels au volume d'activité</t>
  </si>
  <si>
    <t xml:space="preserve">5. Charges fixes</t>
  </si>
  <si>
    <t xml:space="preserve">Masse salariale, loyers, IT, marketing, frais généraux</t>
  </si>
  <si>
    <t xml:space="preserve">6. CAPEX &amp; Amort.</t>
  </si>
  <si>
    <t xml:space="preserve">Investissements et plan d'amortissement</t>
  </si>
  <si>
    <t xml:space="preserve">7. P&amp;L</t>
  </si>
  <si>
    <t xml:space="preserve">Compte de résultat mensuel + annuel (3 ans)</t>
  </si>
  <si>
    <t xml:space="preserve">8. Trésorerie</t>
  </si>
  <si>
    <t xml:space="preserve">Plan de trésorerie mensuel avec BFR</t>
  </si>
  <si>
    <t xml:space="preserve">9. KPIs &amp; Dashboard</t>
  </si>
  <si>
    <t xml:space="preserve">Indicateurs clés : CAC, LTV, marge contributive, break-even, runway</t>
  </si>
  <si>
    <t xml:space="preserve">10. Scénarios</t>
  </si>
  <si>
    <t xml:space="preserve">Sensibilité : Pessimiste / Base / Optimiste</t>
  </si>
  <si>
    <t xml:space="preserve">Code couleurs des cellules</t>
  </si>
  <si>
    <t xml:space="preserve">Bleu sur fond jaune</t>
  </si>
  <si>
    <t xml:space="preserve">Valeur d'entrée modifiable (hypothèse)</t>
  </si>
  <si>
    <t xml:space="preserve">Noir</t>
  </si>
  <si>
    <t xml:space="preserve">Formule de calcul</t>
  </si>
  <si>
    <t xml:space="preserve">Vert</t>
  </si>
  <si>
    <t xml:space="preserve">Lien vers une autre feuille du classeur</t>
  </si>
  <si>
    <t xml:space="preserve">Blanc sur fond marine</t>
  </si>
  <si>
    <t xml:space="preserve">Total / sous-total</t>
  </si>
  <si>
    <t xml:space="preserve">HYPOTHÈSES DU MODÈLE — Toutes valeurs modifiables</t>
  </si>
  <si>
    <t xml:space="preserve">Paramètre</t>
  </si>
  <si>
    <t xml:space="preserve">Unité</t>
  </si>
  <si>
    <t xml:space="preserve">Année 1</t>
  </si>
  <si>
    <t xml:space="preserve">Année 2</t>
  </si>
  <si>
    <t xml:space="preserve">Année 3</t>
  </si>
  <si>
    <t xml:space="preserve">Commentaire / Source</t>
  </si>
  <si>
    <t xml:space="preserve">1. Hypothèses macro &amp; monétaires</t>
  </si>
  <si>
    <t xml:space="preserve">Taux de change FCFA / USD</t>
  </si>
  <si>
    <t xml:space="preserve">FCFA</t>
  </si>
  <si>
    <t xml:space="preserve">Référence BCEAO</t>
  </si>
  <si>
    <t xml:space="preserve">Inflation annuelle UEMOA</t>
  </si>
  <si>
    <t xml:space="preserve">%</t>
  </si>
  <si>
    <t xml:space="preserve">Source : BCEAO – moyenne zone</t>
  </si>
  <si>
    <t xml:space="preserve">Taux d'impôt sur les sociétés (IS)</t>
  </si>
  <si>
    <t xml:space="preserve">Taux moyen UEMOA</t>
  </si>
  <si>
    <t xml:space="preserve">TVA collectée applicable</t>
  </si>
  <si>
    <t xml:space="preserve">Taux standard zone UEMOA</t>
  </si>
  <si>
    <t xml:space="preserve">2. Acquisition &amp; base utilisateurs</t>
  </si>
  <si>
    <t xml:space="preserve">Utilisateurs actifs au mois 1 (M1)</t>
  </si>
  <si>
    <t xml:space="preserve">users</t>
  </si>
  <si>
    <t xml:space="preserve">Base de départ (pré-lancement / soft launch)</t>
  </si>
  <si>
    <t xml:space="preserve">Acquisition nouveaux users / mois (Y1)</t>
  </si>
  <si>
    <t xml:space="preserve">users/mois</t>
  </si>
  <si>
    <t xml:space="preserve">Croissance organique + marketing</t>
  </si>
  <si>
    <t xml:space="preserve">Acquisition nouveaux users / mois (Y2)</t>
  </si>
  <si>
    <t xml:space="preserve">Accélération post-PMF</t>
  </si>
  <si>
    <t xml:space="preserve">Acquisition nouveaux users / mois (Y3)</t>
  </si>
  <si>
    <t xml:space="preserve">Scale-up régional</t>
  </si>
  <si>
    <t xml:space="preserve">Taux d'attrition mensuel (churn)</t>
  </si>
  <si>
    <t xml:space="preserve">Benchmark fintech Afrique</t>
  </si>
  <si>
    <t xml:space="preserve">Taux d'activation (MAU/Total)</t>
  </si>
  <si>
    <t xml:space="preserve">Utilisateurs actifs / inscrits</t>
  </si>
  <si>
    <t xml:space="preserve">3. Ligne 1 — Transferts agent (Bank↔Wallet)</t>
  </si>
  <si>
    <t xml:space="preserve">Transactions B2W / user actif / mois</t>
  </si>
  <si>
    <t xml:space="preserve">tx</t>
  </si>
  <si>
    <t xml:space="preserve">Bank-to-Wallet</t>
  </si>
  <si>
    <t xml:space="preserve">Montant moyen transaction B2W</t>
  </si>
  <si>
    <t xml:space="preserve">Ticket moyen</t>
  </si>
  <si>
    <t xml:space="preserve">Commission B2W (% montant)</t>
  </si>
  <si>
    <t xml:space="preserve">1,5% – aligné concurrents</t>
  </si>
  <si>
    <t xml:space="preserve">Commission minimum B2W</t>
  </si>
  <si>
    <t xml:space="preserve">Plancher</t>
  </si>
  <si>
    <t xml:space="preserve">Transactions W2B / user actif / mois</t>
  </si>
  <si>
    <t xml:space="preserve">Wallet-to-Bank</t>
  </si>
  <si>
    <t xml:space="preserve">Montant moyen transaction W2B</t>
  </si>
  <si>
    <t xml:space="preserve">Commission W2B (% montant)</t>
  </si>
  <si>
    <t xml:space="preserve">1,8% (sortie wallet)</t>
  </si>
  <si>
    <t xml:space="preserve">Commission minimum W2B</t>
  </si>
  <si>
    <t xml:space="preserve">Coût bancaire interchange (% volume)</t>
  </si>
  <si>
    <t xml:space="preserve">Frais banque partenaire</t>
  </si>
  <si>
    <t xml:space="preserve">Commission agent réseau (% revenu)</t>
  </si>
  <si>
    <t xml:space="preserve">Rétrocession agent</t>
  </si>
  <si>
    <t xml:space="preserve">Coût SMS notification / transaction</t>
  </si>
  <si>
    <t xml:space="preserve">OTP + confirmation</t>
  </si>
  <si>
    <t xml:space="preserve">4. Ligne 2 — Carte bancaire intégrée</t>
  </si>
  <si>
    <t xml:space="preserve">Taux de pénétration carte (% users actifs)</t>
  </si>
  <si>
    <t xml:space="preserve">Adoption progressive</t>
  </si>
  <si>
    <t xml:space="preserve">Frais d'émission carte (one-shot)</t>
  </si>
  <si>
    <t xml:space="preserve">Facturé à la commande</t>
  </si>
  <si>
    <t xml:space="preserve">Abonnement mensuel carte</t>
  </si>
  <si>
    <t xml:space="preserve">Tenue de compte carte</t>
  </si>
  <si>
    <t xml:space="preserve">Transactions carte / porteur / mois</t>
  </si>
  <si>
    <t xml:space="preserve">Achats POS + e-commerce</t>
  </si>
  <si>
    <t xml:space="preserve">Montant moyen transaction carte</t>
  </si>
  <si>
    <t xml:space="preserve">Ticket moyen achat</t>
  </si>
  <si>
    <t xml:space="preserve">Commission interchange reçue (MDR)</t>
  </si>
  <si>
    <t xml:space="preserve">Part émetteur sur MDR</t>
  </si>
  <si>
    <t xml:space="preserve">Coût fabrication carte physique</t>
  </si>
  <si>
    <t xml:space="preserve">Plastique + personnalisation</t>
  </si>
  <si>
    <t xml:space="preserve">Frais scheme (Visa/Mastercard) /tx</t>
  </si>
  <si>
    <t xml:space="preserve">Frais réseau</t>
  </si>
  <si>
    <t xml:space="preserve">Coût processing /tx</t>
  </si>
  <si>
    <t xml:space="preserve">Processeur (TPS, etc.)</t>
  </si>
  <si>
    <t xml:space="preserve">5. Ligne 3 — Achat de services (bill, top-up, marchand)</t>
  </si>
  <si>
    <t xml:space="preserve">Transactions services / user actif / mois</t>
  </si>
  <si>
    <t xml:space="preserve">Bill pay + airtime + marchand</t>
  </si>
  <si>
    <t xml:space="preserve">Montant moyen transaction service</t>
  </si>
  <si>
    <t xml:space="preserve">Commission service (% montant)</t>
  </si>
  <si>
    <t xml:space="preserve">2% côté utilisateur</t>
  </si>
  <si>
    <t xml:space="preserve">Commission marchand (% montant)</t>
  </si>
  <si>
    <t xml:space="preserve">Côté marchand/biller</t>
  </si>
  <si>
    <t xml:space="preserve">Coût biller / agrégateur (% revenu)</t>
  </si>
  <si>
    <t xml:space="preserve">Rétrocession biller</t>
  </si>
  <si>
    <t xml:space="preserve">6. Ressources humaines (effectifs)</t>
  </si>
  <si>
    <t xml:space="preserve">Effectif Tech &amp; Produit</t>
  </si>
  <si>
    <t xml:space="preserve">ETP</t>
  </si>
  <si>
    <t xml:space="preserve">Dev, DevOps, PM, Design</t>
  </si>
  <si>
    <t xml:space="preserve">Effectif Commercial &amp; Marketing</t>
  </si>
  <si>
    <t xml:space="preserve">Sales, marketing, growth</t>
  </si>
  <si>
    <t xml:space="preserve">Effectif Opérations &amp; Support</t>
  </si>
  <si>
    <t xml:space="preserve">Support client, KYC, conformité</t>
  </si>
  <si>
    <t xml:space="preserve">Effectif Corporate (Finance, RH, Direction)</t>
  </si>
  <si>
    <t xml:space="preserve">Fonctions support</t>
  </si>
  <si>
    <t xml:space="preserve">Coût mensuel chargé moyen Tech</t>
  </si>
  <si>
    <t xml:space="preserve">FCFA/ETP</t>
  </si>
  <si>
    <t xml:space="preserve">Salaire chargé + charges patronales</t>
  </si>
  <si>
    <t xml:space="preserve">Coût mensuel chargé moyen Commercial</t>
  </si>
  <si>
    <t xml:space="preserve">Fixe + part variable moyenne</t>
  </si>
  <si>
    <t xml:space="preserve">Coût mensuel chargé moyen Ops</t>
  </si>
  <si>
    <t xml:space="preserve">Profil opérationnel</t>
  </si>
  <si>
    <t xml:space="preserve">Coût mensuel chargé moyen Corporate</t>
  </si>
  <si>
    <t xml:space="preserve">Inclut C-level</t>
  </si>
  <si>
    <t xml:space="preserve">7. Autres charges fixes (mensuel)</t>
  </si>
  <si>
    <t xml:space="preserve">Loyers &amp; charges locatives</t>
  </si>
  <si>
    <t xml:space="preserve">FCFA/mois</t>
  </si>
  <si>
    <t xml:space="preserve">Siège + agences</t>
  </si>
  <si>
    <t xml:space="preserve">Infrastructure IT (cloud, SaaS, licences)</t>
  </si>
  <si>
    <t xml:space="preserve">AWS, outils, sécurité</t>
  </si>
  <si>
    <t xml:space="preserve">Marketing &amp; acquisition (cash burn)</t>
  </si>
  <si>
    <t xml:space="preserve">Hors CAC unitaire ; campagnes brand</t>
  </si>
  <si>
    <t xml:space="preserve">Frais juridiques, conformité, audit</t>
  </si>
  <si>
    <t xml:space="preserve">KYC/AML, audit externe, légal</t>
  </si>
  <si>
    <t xml:space="preserve">Télécoms, énergie, fournitures</t>
  </si>
  <si>
    <t xml:space="preserve">Autres frais généraux</t>
  </si>
  <si>
    <t xml:space="preserve">Déplacements, formation, divers</t>
  </si>
  <si>
    <t xml:space="preserve">8. Investissements (CAPEX)</t>
  </si>
  <si>
    <t xml:space="preserve">CAPEX Tech (plateforme, dév. logiciel)</t>
  </si>
  <si>
    <t xml:space="preserve">FCFA (annuel)</t>
  </si>
  <si>
    <t xml:space="preserve">Dév interne capitalisé</t>
  </si>
  <si>
    <t xml:space="preserve">CAPEX Équipements &amp; aménagement</t>
  </si>
  <si>
    <t xml:space="preserve">Hardware, mobilier, agences</t>
  </si>
  <si>
    <t xml:space="preserve">CAPEX Licences &amp; agréments</t>
  </si>
  <si>
    <t xml:space="preserve">Licence EME, agréments BCEAO</t>
  </si>
  <si>
    <t xml:space="preserve">Durée d'amortissement moyenne</t>
  </si>
  <si>
    <t xml:space="preserve">années</t>
  </si>
  <si>
    <t xml:space="preserve">Linéaire</t>
  </si>
  <si>
    <t xml:space="preserve">9. Financement &amp; trésorerie</t>
  </si>
  <si>
    <t xml:space="preserve">Trésorerie initiale (seed/série A)</t>
  </si>
  <si>
    <t xml:space="preserve">Capital levé en M0</t>
  </si>
  <si>
    <t xml:space="preserve">Levée de fonds prévue Année 2</t>
  </si>
  <si>
    <t xml:space="preserve">Série A/B selon trajectoire</t>
  </si>
  <si>
    <t xml:space="preserve">Levée de fonds prévue Année 3</t>
  </si>
  <si>
    <t xml:space="preserve">Série B</t>
  </si>
  <si>
    <t xml:space="preserve">BFR — délai moyen encaissement</t>
  </si>
  <si>
    <t xml:space="preserve">jours</t>
  </si>
  <si>
    <t xml:space="preserve">Compensation interbancaire</t>
  </si>
  <si>
    <t xml:space="preserve">Délai paiement fournisseurs</t>
  </si>
  <si>
    <t xml:space="preserve">Fournisseurs cloud, agrégateurs</t>
  </si>
  <si>
    <t xml:space="preserve">10. Coût d'acquisition (CAC)</t>
  </si>
  <si>
    <t xml:space="preserve">CAC moyen par nouvel utilisateur</t>
  </si>
  <si>
    <t xml:space="preserve">Effet d'échelle attendu</t>
  </si>
  <si>
    <t xml:space="preserve">MODÉLISATION DES REVENUS — 36 mois</t>
  </si>
  <si>
    <t xml:space="preserve">Année 1 (mensuel)</t>
  </si>
  <si>
    <t xml:space="preserve">Poste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</si>
  <si>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</si>
  <si>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</si>
  <si>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</si>
  <si>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</si>
  <si>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</si>
  <si>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</si>
  <si>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</si>
  <si>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</si>
  <si>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</si>
  <si>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</si>
  <si>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</si>
  <si>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</si>
  <si>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 Y1</t>
  </si>
  <si>
    <t xml:space="preserve">Total 3 ans</t>
  </si>
  <si>
    <t xml:space="preserve">A. Base utilisateurs</t>
  </si>
  <si>
    <t xml:space="preserve">Utilisateurs inscrits (cumul fin de mois)</t>
  </si>
  <si>
    <t xml:space="preserve">Utilisateurs actifs (MAU)</t>
  </si>
  <si>
    <t xml:space="preserve">B. Ligne 1 — Transferts B2W &amp; W2B</t>
  </si>
  <si>
    <t xml:space="preserve">Volume B2W (FCFA)</t>
  </si>
  <si>
    <t xml:space="preserve">Revenu B2W (commissions)</t>
  </si>
  <si>
    <t xml:space="preserve">Volume W2B (FCFA)</t>
  </si>
  <si>
    <t xml:space="preserve">Revenu W2B (commissions)</t>
  </si>
  <si>
    <t xml:space="preserve">Sous-total revenus Transferts</t>
  </si>
  <si>
    <t xml:space="preserve">C. Ligne 2 — Carte bancaire</t>
  </si>
  <si>
    <t xml:space="preserve">Porteurs de carte (cumul)</t>
  </si>
  <si>
    <t xml:space="preserve">Nouvelles cartes émises (du mois)</t>
  </si>
  <si>
    <t xml:space="preserve">Revenu frais d'émission carte</t>
  </si>
  <si>
    <t xml:space="preserve">Revenu abonnement mensuel carte</t>
  </si>
  <si>
    <t xml:space="preserve">Volume transactions carte (FCFA)</t>
  </si>
  <si>
    <t xml:space="preserve">Revenu interchange (MDR émetteur)</t>
  </si>
  <si>
    <t xml:space="preserve">Sous-total revenus Carte</t>
  </si>
  <si>
    <t xml:space="preserve">D. Ligne 3 — Achat de services</t>
  </si>
  <si>
    <t xml:space="preserve">Volume services (FCFA)</t>
  </si>
  <si>
    <t xml:space="preserve">Revenu commission utilisateur</t>
  </si>
  <si>
    <t xml:space="preserve">Revenu commission marchand</t>
  </si>
  <si>
    <t xml:space="preserve">Sous-total revenus Services</t>
  </si>
  <si>
    <t xml:space="preserve">E. TOTAL REVENUS</t>
  </si>
  <si>
    <t xml:space="preserve">CHIFFRE D'AFFAIRES TOTAL</t>
  </si>
  <si>
    <t xml:space="preserve">  Mix Transferts (% du CA)</t>
  </si>
  <si>
    <t xml:space="preserve">  Mix Carte (% du CA)</t>
  </si>
  <si>
    <t xml:space="preserve">  Mix Services (% du CA)</t>
  </si>
  <si>
    <t xml:space="preserve">COÛTS VARIABLES — Proportionnels au volume</t>
  </si>
  <si>
    <t xml:space="preserve">A. Coûts variables Transferts</t>
  </si>
  <si>
    <t xml:space="preserve">Coût bancaire / interchange (volume B2W+W2B)</t>
  </si>
  <si>
    <t xml:space="preserve">Commissions agents réseau (% revenu transferts)</t>
  </si>
  <si>
    <t xml:space="preserve">SMS notifications (B2W+W2B+services)</t>
  </si>
  <si>
    <t xml:space="preserve">B. Coûts variables Carte bancaire</t>
  </si>
  <si>
    <t xml:space="preserve">Coût fabrication cartes (nouvelles)</t>
  </si>
  <si>
    <t xml:space="preserve">Frais scheme (Visa/Mastercard)</t>
  </si>
  <si>
    <t xml:space="preserve">Coût processing transactions</t>
  </si>
  <si>
    <t xml:space="preserve">C. Coûts variables Services</t>
  </si>
  <si>
    <t xml:space="preserve">Rétrocession biller / agrégateur</t>
  </si>
  <si>
    <t xml:space="preserve">D. Coût d'acquisition utilisateurs (CAC)</t>
  </si>
  <si>
    <t xml:space="preserve">CAC — nouveaux utilisateurs acquis</t>
  </si>
  <si>
    <t xml:space="preserve">TOTAL COÛTS VARIABLES</t>
  </si>
  <si>
    <t xml:space="preserve">  Ratio Coûts Variables / CA</t>
  </si>
  <si>
    <t xml:space="preserve">  MARGE CONTRIBUTIVE (CA - CV)</t>
  </si>
  <si>
    <t xml:space="preserve">  Taux de marge contributive</t>
  </si>
  <si>
    <t xml:space="preserve">CHARGES FIXES — Structure de coûts</t>
  </si>
  <si>
    <t xml:space="preserve">A. Masse salariale (chargée)</t>
  </si>
  <si>
    <t xml:space="preserve">  Masse salariale — Tech &amp; Produit</t>
  </si>
  <si>
    <t xml:space="preserve">  Masse salariale — Commercial &amp; Marketing</t>
  </si>
  <si>
    <t xml:space="preserve">  Masse salariale — Opérations &amp; Support</t>
  </si>
  <si>
    <t xml:space="preserve">  Masse salariale — Corporate (Finance, RH, Direction)</t>
  </si>
  <si>
    <t xml:space="preserve">Sous-total Masse salariale</t>
  </si>
  <si>
    <t xml:space="preserve">  Effectif total (ETP)</t>
  </si>
  <si>
    <t xml:space="preserve">B. Autres charges fixes (mensuel)</t>
  </si>
  <si>
    <t xml:space="preserve">  Loyers &amp; charges locatives</t>
  </si>
  <si>
    <t xml:space="preserve">  Infrastructure IT (cloud, SaaS)</t>
  </si>
  <si>
    <t xml:space="preserve">  Marketing &amp; acquisition (campagnes)</t>
  </si>
  <si>
    <t xml:space="preserve">  Frais juridiques, conformité, audit</t>
  </si>
  <si>
    <t xml:space="preserve">  Télécoms, énergie, fournitures</t>
  </si>
  <si>
    <t xml:space="preserve">  Autres frais généraux</t>
  </si>
  <si>
    <t xml:space="preserve">Sous-total Autres charges fixes</t>
  </si>
  <si>
    <t xml:space="preserve">TOTAL CHARGES FIXES</t>
  </si>
  <si>
    <t xml:space="preserve">CAPEX &amp; AMORTISSEMENTS</t>
  </si>
  <si>
    <t xml:space="preserve">Durée (ans)</t>
  </si>
  <si>
    <t xml:space="preserve">Amort. annuel Y1</t>
  </si>
  <si>
    <t xml:space="preserve">Amort. annuel Y2</t>
  </si>
  <si>
    <t xml:space="preserve">Amort. annuel Y3</t>
  </si>
  <si>
    <t xml:space="preserve">CAPEX Tech (plateforme, dév. capitalisé)</t>
  </si>
  <si>
    <t xml:space="preserve">TOTAL CAPEX / AMORTISSEMENTS</t>
  </si>
  <si>
    <t xml:space="preserve">COMPTE DE RÉSULTAT (P&amp;L) — 36 mois</t>
  </si>
  <si>
    <t xml:space="preserve">Chiffre d'affaires</t>
  </si>
  <si>
    <t xml:space="preserve">(-) Coûts variables</t>
  </si>
  <si>
    <t xml:space="preserve">MARGE CONTRIBUTIVE</t>
  </si>
  <si>
    <t xml:space="preserve">(-) Charges fixes (masse salariale + autres)</t>
  </si>
  <si>
    <t xml:space="preserve">EBITDA (Excédent Brut d'Exploitation)</t>
  </si>
  <si>
    <t xml:space="preserve">  Marge EBITDA</t>
  </si>
  <si>
    <t xml:space="preserve">(-) Dotations aux amortissements</t>
  </si>
  <si>
    <t xml:space="preserve">RÉSULTAT D'EXPLOITATION (EBIT)</t>
  </si>
  <si>
    <t xml:space="preserve">(-) Impôt sur les sociétés (IS)</t>
  </si>
  <si>
    <t xml:space="preserve">RÉSULTAT NET</t>
  </si>
  <si>
    <t xml:space="preserve">  Marge nette</t>
  </si>
  <si>
    <t xml:space="preserve">PLAN DE TRÉSORERIE — 36 mois</t>
  </si>
  <si>
    <t xml:space="preserve">Trésorerie début de période</t>
  </si>
  <si>
    <t xml:space="preserve">ENCAISSEMENTS</t>
  </si>
  <si>
    <t xml:space="preserve">  Encaissements d'exploitation (CA)</t>
  </si>
  <si>
    <t xml:space="preserve">  Levées de fonds</t>
  </si>
  <si>
    <t xml:space="preserve">Total encaissements</t>
  </si>
  <si>
    <t xml:space="preserve">DÉCAISSEMENTS</t>
  </si>
  <si>
    <t xml:space="preserve">  Coûts variables</t>
  </si>
  <si>
    <t xml:space="preserve">  Charges fixes</t>
  </si>
  <si>
    <t xml:space="preserve">  Impôts (IS)</t>
  </si>
  <si>
    <t xml:space="preserve">  Investissements (CAPEX)</t>
  </si>
  <si>
    <t xml:space="preserve">Total décaissements</t>
  </si>
  <si>
    <t xml:space="preserve">VARIATION DE TRÉSORERIE</t>
  </si>
  <si>
    <t xml:space="preserve">TRÉSORERIE FIN DE PÉRIODE</t>
  </si>
  <si>
    <t xml:space="preserve">DASHBOARD KPIs &amp; INDICATEURS DE PILOTAGE</t>
  </si>
  <si>
    <t xml:space="preserve">Indicateur</t>
  </si>
  <si>
    <t xml:space="preserve">Commentaire</t>
  </si>
  <si>
    <t xml:space="preserve">Croissance &amp; Base utilisateurs</t>
  </si>
  <si>
    <t xml:space="preserve">Utilisateurs inscrits (fin de période)</t>
  </si>
  <si>
    <t xml:space="preserve">Cumul d'inscrits</t>
  </si>
  <si>
    <t xml:space="preserve">MAU moyen</t>
  </si>
  <si>
    <t xml:space="preserve">Utilisateurs actifs moyens</t>
  </si>
  <si>
    <t xml:space="preserve">Croissance MAU YoY</t>
  </si>
  <si>
    <t xml:space="preserve">Taux de croissance annuel</t>
  </si>
  <si>
    <t xml:space="preserve">Churn mensuel</t>
  </si>
  <si>
    <t xml:space="preserve">Taux de désabonnement</t>
  </si>
  <si>
    <t xml:space="preserve">Revenus &amp; Rentabilité</t>
  </si>
  <si>
    <t xml:space="preserve">CA total annuel</t>
  </si>
  <si>
    <t xml:space="preserve">Croissance CA YoY</t>
  </si>
  <si>
    <t xml:space="preserve">Taux de croissance CA</t>
  </si>
  <si>
    <t xml:space="preserve">ARPU (Revenu / user actif / mois)</t>
  </si>
  <si>
    <t xml:space="preserve">Revenu par utilisateur actif</t>
  </si>
  <si>
    <t xml:space="preserve">Marge contributive</t>
  </si>
  <si>
    <t xml:space="preserve">CA - Coûts variables</t>
  </si>
  <si>
    <t xml:space="preserve">Taux de marge contributive</t>
  </si>
  <si>
    <t xml:space="preserve">Marge variable</t>
  </si>
  <si>
    <t xml:space="preserve">EBITDA</t>
  </si>
  <si>
    <t xml:space="preserve">Excédent brut d'exploitation</t>
  </si>
  <si>
    <t xml:space="preserve">Marge EBITDA</t>
  </si>
  <si>
    <t xml:space="preserve">Rentabilité opérationnelle</t>
  </si>
  <si>
    <t xml:space="preserve">Résultat net</t>
  </si>
  <si>
    <t xml:space="preserve">Bottom line</t>
  </si>
  <si>
    <t xml:space="preserve">Unit Economics</t>
  </si>
  <si>
    <t xml:space="preserve">CAC (Coût acquisition client)</t>
  </si>
  <si>
    <t xml:space="preserve">Marketing + acquisition par user</t>
  </si>
  <si>
    <t xml:space="preserve">ARPU annuel</t>
  </si>
  <si>
    <t xml:space="preserve">Revenu annuel par user</t>
  </si>
  <si>
    <t xml:space="preserve">Marge contributive par user (annuelle)</t>
  </si>
  <si>
    <t xml:space="preserve">Contribution unitaire</t>
  </si>
  <si>
    <t xml:space="preserve">LTV (Lifetime Value)</t>
  </si>
  <si>
    <t xml:space="preserve">Marge mensuelle × durée de vie</t>
  </si>
  <si>
    <t xml:space="preserve">Ratio LTV/CAC</t>
  </si>
  <si>
    <t xml:space="preserve">x</t>
  </si>
  <si>
    <t xml:space="preserve">Doit être &gt; 3x (benchmark SaaS/fintech)</t>
  </si>
  <si>
    <t xml:space="preserve">Payback CAC (mois)</t>
  </si>
  <si>
    <t xml:space="preserve">mois</t>
  </si>
  <si>
    <t xml:space="preserve">Délai de récupération du CAC</t>
  </si>
  <si>
    <t xml:space="preserve">Structure de coûts</t>
  </si>
  <si>
    <t xml:space="preserve">Coûts variables</t>
  </si>
  <si>
    <t xml:space="preserve">Total CV</t>
  </si>
  <si>
    <t xml:space="preserve">Charges fixes</t>
  </si>
  <si>
    <t xml:space="preserve">Total CF</t>
  </si>
  <si>
    <t xml:space="preserve">Ratio CF / CA</t>
  </si>
  <si>
    <t xml:space="preserve">Poids charges fixes</t>
  </si>
  <si>
    <t xml:space="preserve">Seuil de rentabilité (CA break-even)</t>
  </si>
  <si>
    <t xml:space="preserve">CA minimum pour couvrir CF</t>
  </si>
  <si>
    <t xml:space="preserve">Trésorerie &amp; Runway</t>
  </si>
  <si>
    <t xml:space="preserve">Trésorerie fin de période</t>
  </si>
  <si>
    <t xml:space="preserve">Cash disponible</t>
  </si>
  <si>
    <t xml:space="preserve">Cash burn / brûlure (annuel)</t>
  </si>
  <si>
    <t xml:space="preserve">EBITDA si négatif</t>
  </si>
  <si>
    <t xml:space="preserve">Cash burn mensuel moyen</t>
  </si>
  <si>
    <t xml:space="preserve">Si pertes</t>
  </si>
  <si>
    <t xml:space="preserve">Runway (mois)</t>
  </si>
  <si>
    <t xml:space="preserve">Mois restants avant cash-out</t>
  </si>
  <si>
    <t xml:space="preserve">Productivité &amp; Efficience</t>
  </si>
  <si>
    <t xml:space="preserve">Effectif total (ETP)</t>
  </si>
  <si>
    <t xml:space="preserve">Headcount total</t>
  </si>
  <si>
    <t xml:space="preserve">CA par ETP (annuel)</t>
  </si>
  <si>
    <t xml:space="preserve">Productivité par tête</t>
  </si>
  <si>
    <t xml:space="preserve">MAU par ETP</t>
  </si>
  <si>
    <t xml:space="preserve">Levier opérationnel</t>
  </si>
  <si>
    <t xml:space="preserve">ANALYSE DE SCÉNARIOS — Sensibilité</t>
  </si>
  <si>
    <t xml:space="preserve">Ce tableau présente l'impact sur la rentabilité de variations des hypothèses clés. Pour basculer entre scénarios, modifier manuellement les valeurs dans la feuille 'Hypothèses'. Les colonnes ci-dessous montrent l'effet attendu de chaque scénario.</t>
  </si>
  <si>
    <t xml:space="preserve">Indicateur Année 3</t>
  </si>
  <si>
    <t xml:space="preserve">Pessimiste</t>
  </si>
  <si>
    <t xml:space="preserve">Base (actuel)</t>
  </si>
  <si>
    <t xml:space="preserve">Optimiste</t>
  </si>
  <si>
    <t xml:space="preserve">Δ Pess. vs Base</t>
  </si>
  <si>
    <t xml:space="preserve">Δ Opt. vs Base</t>
  </si>
  <si>
    <t xml:space="preserve">MAU fin Année 3</t>
  </si>
  <si>
    <t xml:space="preserve">Sensibilité acquisition × churn</t>
  </si>
  <si>
    <t xml:space="preserve">Chiffre d'affaires Année 3</t>
  </si>
  <si>
    <t xml:space="preserve">Effet volume × ARPU</t>
  </si>
  <si>
    <t xml:space="preserve">Marge contributive Année 3</t>
  </si>
  <si>
    <t xml:space="preserve">Linéaire au CA</t>
  </si>
  <si>
    <t xml:space="preserve">Charges fixes Année 3</t>
  </si>
  <si>
    <t xml:space="preserve">Variation maîtrise des charges</t>
  </si>
  <si>
    <t xml:space="preserve">EBITDA Année 3</t>
  </si>
  <si>
    <t xml:space="preserve">Résultat opérationnel</t>
  </si>
  <si>
    <t xml:space="preserve">Marge EBITDA Année 3</t>
  </si>
  <si>
    <t xml:space="preserve">Hypothèses appliquées par scénario</t>
  </si>
  <si>
    <t xml:space="preserve">Acquisition utilisateurs</t>
  </si>
  <si>
    <t xml:space="preserve">-30%</t>
  </si>
  <si>
    <t xml:space="preserve">Référence</t>
  </si>
  <si>
    <t xml:space="preserve">+25%</t>
  </si>
  <si>
    <t xml:space="preserve">% variation vs base</t>
  </si>
  <si>
    <t xml:space="preserve">+50%</t>
  </si>
  <si>
    <t xml:space="preserve">ARPU (revenu / user)</t>
  </si>
  <si>
    <t xml:space="preserve">-15%</t>
  </si>
  <si>
    <t xml:space="preserve">+15%</t>
  </si>
  <si>
    <t xml:space="preserve">+20%</t>
  </si>
  <si>
    <t xml:space="preserve">-10%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</si>
</sst>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&quot; FCFA&quot;;\(#,##0&quot; FCFA)&quot;;\-"/>
    <numFmt numFmtId="168" formatCode="0.00\x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1"/>
      <color rgb="FF0A254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C9A961"/>
        <bgColor rgb="FFBFBFBF"/>
      </patternFill>
    </fill>
    <fill>
      <patternFill patternType="solid">
        <fgColor rgb="FFFFFF99"/>
        <bgColor rgb="FFF5EFE0"/>
      </patternFill>
    </fill>
    <fill>
      <patternFill patternType="solid">
        <fgColor rgb="FFF5E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E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961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5" customFormat="false" ht="27.75" hidden="false" customHeight="true" outlineLevel="0" collapsed="false">
      <c r="A15" s="4" t="s">
        <v>9</v>
      </c>
      <c r="B15" s="4" t="s">
        <v>10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5" t="s">
        <v>11</v>
      </c>
      <c r="B16" s="6" t="s">
        <v>12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5" t="s">
        <v>13</v>
      </c>
      <c r="B17" s="6" t="s">
        <v>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5" t="s">
        <v>15</v>
      </c>
      <c r="B18" s="6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5" t="s">
        <v>17</v>
      </c>
      <c r="B19" s="6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5" t="s">
        <v>19</v>
      </c>
      <c r="B20" s="6" t="s">
        <v>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5" t="s">
        <v>21</v>
      </c>
      <c r="B21" s="6" t="s">
        <v>22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5" t="s">
        <v>23</v>
      </c>
      <c r="B22" s="6" t="s">
        <v>24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5" t="s">
        <v>25</v>
      </c>
      <c r="B23" s="6" t="s">
        <v>26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A24" s="5" t="s">
        <v>27</v>
      </c>
      <c r="B24" s="6" t="s">
        <v>28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5" t="s">
        <v>29</v>
      </c>
      <c r="B25" s="6" t="s">
        <v>30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8" customFormat="false" ht="15" hidden="false" customHeight="false" outlineLevel="0" collapsed="false">
      <c r="A28" s="2" t="s">
        <v>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7" t="s">
        <v>32</v>
      </c>
      <c r="B29" s="6" t="s">
        <v>33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customFormat="false" ht="15" hidden="false" customHeight="false" outlineLevel="0" collapsed="false">
      <c r="A30" s="8" t="s">
        <v>34</v>
      </c>
      <c r="B30" s="6" t="s">
        <v>35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9" t="s">
        <v>36</v>
      </c>
      <c r="B31" s="6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15" hidden="false" customHeight="false" outlineLevel="0" collapsed="false">
      <c r="A32" s="10" t="s">
        <v>38</v>
      </c>
      <c r="B32" s="6" t="s">
        <v>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mergeCells count="28">
    <mergeCell ref="A1:N1"/>
    <mergeCell ref="A3:N3"/>
    <mergeCell ref="A4:N4"/>
    <mergeCell ref="A5:N5"/>
    <mergeCell ref="A6:N6"/>
    <mergeCell ref="A7:N7"/>
    <mergeCell ref="A8:N8"/>
    <mergeCell ref="A9:N9"/>
    <mergeCell ref="A10:N10"/>
    <mergeCell ref="A11:N11"/>
    <mergeCell ref="A12:N12"/>
    <mergeCell ref="A13:N13"/>
    <mergeCell ref="B15:N15"/>
    <mergeCell ref="B16:N16"/>
    <mergeCell ref="B17:N17"/>
    <mergeCell ref="B18:N18"/>
    <mergeCell ref="B19:N19"/>
    <mergeCell ref="B20:N20"/>
    <mergeCell ref="B21:N21"/>
    <mergeCell ref="B22:N22"/>
    <mergeCell ref="B23:N23"/>
    <mergeCell ref="B24:N24"/>
    <mergeCell ref="B25:N25"/>
    <mergeCell ref="A28:N28"/>
    <mergeCell ref="B29:N29"/>
    <mergeCell ref="B30:N30"/>
    <mergeCell ref="B31:N31"/>
    <mergeCell ref="B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50"/>
  </cols>
  <sheetData>
    <row r="1" customFormat="false" ht="31.5" hidden="false" customHeight="true" outlineLevel="0" collapsed="false">
      <c r="A1" s="1" t="s">
        <v>40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</row>
    <row r="4" customFormat="false" ht="19.5" hidden="false" customHeight="true" outlineLevel="0" collapsed="false">
      <c r="A4" s="11" t="s">
        <v>47</v>
      </c>
      <c r="B4" s="11"/>
      <c r="C4" s="11"/>
      <c r="D4" s="11"/>
      <c r="E4" s="11"/>
      <c r="F4" s="11"/>
    </row>
    <row r="5" customFormat="false" ht="15" hidden="false" customHeight="false" outlineLevel="0" collapsed="false">
      <c r="A5" s="12" t="s">
        <v>48</v>
      </c>
      <c r="B5" s="13" t="s">
        <v>49</v>
      </c>
      <c r="C5" s="14" t="n">
        <v>600</v>
      </c>
      <c r="D5" s="14" t="n">
        <v>605</v>
      </c>
      <c r="E5" s="14" t="n">
        <v>610</v>
      </c>
      <c r="F5" s="6" t="s">
        <v>50</v>
      </c>
    </row>
    <row r="6" customFormat="false" ht="15" hidden="false" customHeight="false" outlineLevel="0" collapsed="false">
      <c r="A6" s="12" t="s">
        <v>51</v>
      </c>
      <c r="B6" s="13" t="s">
        <v>52</v>
      </c>
      <c r="C6" s="15" t="n">
        <v>0.035</v>
      </c>
      <c r="D6" s="15" t="n">
        <v>0.03</v>
      </c>
      <c r="E6" s="15" t="n">
        <v>0.03</v>
      </c>
      <c r="F6" s="6" t="s">
        <v>53</v>
      </c>
    </row>
    <row r="7" customFormat="false" ht="15" hidden="false" customHeight="false" outlineLevel="0" collapsed="false">
      <c r="A7" s="12" t="s">
        <v>54</v>
      </c>
      <c r="B7" s="13" t="s">
        <v>52</v>
      </c>
      <c r="C7" s="15" t="n">
        <v>0.3</v>
      </c>
      <c r="D7" s="15" t="n">
        <v>0.3</v>
      </c>
      <c r="E7" s="15" t="n">
        <v>0.3</v>
      </c>
      <c r="F7" s="6" t="s">
        <v>55</v>
      </c>
    </row>
    <row r="8" customFormat="false" ht="15" hidden="false" customHeight="false" outlineLevel="0" collapsed="false">
      <c r="A8" s="12" t="s">
        <v>56</v>
      </c>
      <c r="B8" s="13" t="s">
        <v>52</v>
      </c>
      <c r="C8" s="15" t="n">
        <v>0.18</v>
      </c>
      <c r="D8" s="15" t="n">
        <v>0.18</v>
      </c>
      <c r="E8" s="15" t="n">
        <v>0.18</v>
      </c>
      <c r="F8" s="6" t="s">
        <v>57</v>
      </c>
    </row>
    <row r="9" customFormat="false" ht="19.5" hidden="false" customHeight="true" outlineLevel="0" collapsed="false">
      <c r="A9" s="11" t="s">
        <v>58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2" t="s">
        <v>59</v>
      </c>
      <c r="B10" s="13" t="s">
        <v>60</v>
      </c>
      <c r="C10" s="14" t="n">
        <v>5000</v>
      </c>
      <c r="D10" s="14" t="n">
        <v>0</v>
      </c>
      <c r="E10" s="14" t="n">
        <v>0</v>
      </c>
      <c r="F10" s="6" t="s">
        <v>61</v>
      </c>
    </row>
    <row r="11" customFormat="false" ht="15" hidden="false" customHeight="false" outlineLevel="0" collapsed="false">
      <c r="A11" s="12" t="s">
        <v>62</v>
      </c>
      <c r="B11" s="13" t="s">
        <v>63</v>
      </c>
      <c r="C11" s="14" t="n">
        <v>3500</v>
      </c>
      <c r="D11" s="14" t="n">
        <v>0</v>
      </c>
      <c r="E11" s="14" t="n">
        <v>0</v>
      </c>
      <c r="F11" s="6" t="s">
        <v>64</v>
      </c>
    </row>
    <row r="12" customFormat="false" ht="15" hidden="false" customHeight="false" outlineLevel="0" collapsed="false">
      <c r="A12" s="12" t="s">
        <v>65</v>
      </c>
      <c r="B12" s="13" t="s">
        <v>63</v>
      </c>
      <c r="C12" s="14" t="n">
        <v>0</v>
      </c>
      <c r="D12" s="14" t="n">
        <v>7500</v>
      </c>
      <c r="E12" s="14" t="n">
        <v>0</v>
      </c>
      <c r="F12" s="6" t="s">
        <v>66</v>
      </c>
    </row>
    <row r="13" customFormat="false" ht="15" hidden="false" customHeight="false" outlineLevel="0" collapsed="false">
      <c r="A13" s="12" t="s">
        <v>67</v>
      </c>
      <c r="B13" s="13" t="s">
        <v>63</v>
      </c>
      <c r="C13" s="14" t="n">
        <v>0</v>
      </c>
      <c r="D13" s="14" t="n">
        <v>0</v>
      </c>
      <c r="E13" s="14" t="n">
        <v>12000</v>
      </c>
      <c r="F13" s="6" t="s">
        <v>68</v>
      </c>
    </row>
    <row r="14" customFormat="false" ht="15" hidden="false" customHeight="false" outlineLevel="0" collapsed="false">
      <c r="A14" s="12" t="s">
        <v>69</v>
      </c>
      <c r="B14" s="13" t="s">
        <v>52</v>
      </c>
      <c r="C14" s="15" t="n">
        <v>0.035</v>
      </c>
      <c r="D14" s="15" t="n">
        <v>0.025</v>
      </c>
      <c r="E14" s="15" t="n">
        <v>0.02</v>
      </c>
      <c r="F14" s="6" t="s">
        <v>70</v>
      </c>
    </row>
    <row r="15" customFormat="false" ht="15" hidden="false" customHeight="false" outlineLevel="0" collapsed="false">
      <c r="A15" s="12" t="s">
        <v>71</v>
      </c>
      <c r="B15" s="13" t="s">
        <v>52</v>
      </c>
      <c r="C15" s="15" t="n">
        <v>0.55</v>
      </c>
      <c r="D15" s="15" t="n">
        <v>0.62</v>
      </c>
      <c r="E15" s="15" t="n">
        <v>0.68</v>
      </c>
      <c r="F15" s="6" t="s">
        <v>72</v>
      </c>
    </row>
    <row r="16" customFormat="false" ht="19.5" hidden="false" customHeight="true" outlineLevel="0" collapsed="false">
      <c r="A16" s="11" t="s">
        <v>73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2" t="s">
        <v>74</v>
      </c>
      <c r="B17" s="13" t="s">
        <v>75</v>
      </c>
      <c r="C17" s="14" t="n">
        <v>3.5</v>
      </c>
      <c r="D17" s="14" t="n">
        <v>4.5</v>
      </c>
      <c r="E17" s="14" t="n">
        <v>5.5</v>
      </c>
      <c r="F17" s="6" t="s">
        <v>76</v>
      </c>
    </row>
    <row r="18" customFormat="false" ht="15" hidden="false" customHeight="false" outlineLevel="0" collapsed="false">
      <c r="A18" s="12" t="s">
        <v>77</v>
      </c>
      <c r="B18" s="13" t="s">
        <v>49</v>
      </c>
      <c r="C18" s="14" t="n">
        <v>25000</v>
      </c>
      <c r="D18" s="14" t="n">
        <v>28000</v>
      </c>
      <c r="E18" s="14" t="n">
        <v>30000</v>
      </c>
      <c r="F18" s="6" t="s">
        <v>78</v>
      </c>
    </row>
    <row r="19" customFormat="false" ht="15" hidden="false" customHeight="false" outlineLevel="0" collapsed="false">
      <c r="A19" s="12" t="s">
        <v>79</v>
      </c>
      <c r="B19" s="13" t="s">
        <v>52</v>
      </c>
      <c r="C19" s="15" t="n">
        <v>0.015</v>
      </c>
      <c r="D19" s="15" t="n">
        <v>0.015</v>
      </c>
      <c r="E19" s="15" t="n">
        <v>0.014</v>
      </c>
      <c r="F19" s="6" t="s">
        <v>80</v>
      </c>
    </row>
    <row r="20" customFormat="false" ht="15" hidden="false" customHeight="false" outlineLevel="0" collapsed="false">
      <c r="A20" s="12" t="s">
        <v>81</v>
      </c>
      <c r="B20" s="13" t="s">
        <v>49</v>
      </c>
      <c r="C20" s="14" t="n">
        <v>100</v>
      </c>
      <c r="D20" s="14" t="n">
        <v>100</v>
      </c>
      <c r="E20" s="14" t="n">
        <v>100</v>
      </c>
      <c r="F20" s="6" t="s">
        <v>82</v>
      </c>
    </row>
    <row r="21" customFormat="false" ht="15" hidden="false" customHeight="false" outlineLevel="0" collapsed="false">
      <c r="A21" s="12" t="s">
        <v>83</v>
      </c>
      <c r="B21" s="13" t="s">
        <v>75</v>
      </c>
      <c r="C21" s="14" t="n">
        <v>1.8</v>
      </c>
      <c r="D21" s="14" t="n">
        <v>2.5</v>
      </c>
      <c r="E21" s="14" t="n">
        <v>3.2</v>
      </c>
      <c r="F21" s="6" t="s">
        <v>84</v>
      </c>
    </row>
    <row r="22" customFormat="false" ht="15" hidden="false" customHeight="false" outlineLevel="0" collapsed="false">
      <c r="A22" s="12" t="s">
        <v>85</v>
      </c>
      <c r="B22" s="13" t="s">
        <v>49</v>
      </c>
      <c r="C22" s="14" t="n">
        <v>35000</v>
      </c>
      <c r="D22" s="14" t="n">
        <v>40000</v>
      </c>
      <c r="E22" s="14" t="n">
        <v>45000</v>
      </c>
      <c r="F22" s="6" t="s">
        <v>78</v>
      </c>
    </row>
    <row r="23" customFormat="false" ht="15" hidden="false" customHeight="false" outlineLevel="0" collapsed="false">
      <c r="A23" s="12" t="s">
        <v>86</v>
      </c>
      <c r="B23" s="13" t="s">
        <v>52</v>
      </c>
      <c r="C23" s="15" t="n">
        <v>0.018</v>
      </c>
      <c r="D23" s="15" t="n">
        <v>0.018</v>
      </c>
      <c r="E23" s="15" t="n">
        <v>0.017</v>
      </c>
      <c r="F23" s="6" t="s">
        <v>87</v>
      </c>
    </row>
    <row r="24" customFormat="false" ht="15" hidden="false" customHeight="false" outlineLevel="0" collapsed="false">
      <c r="A24" s="12" t="s">
        <v>88</v>
      </c>
      <c r="B24" s="13" t="s">
        <v>49</v>
      </c>
      <c r="C24" s="14" t="n">
        <v>150</v>
      </c>
      <c r="D24" s="14" t="n">
        <v>150</v>
      </c>
      <c r="E24" s="14" t="n">
        <v>150</v>
      </c>
      <c r="F24" s="6" t="s">
        <v>82</v>
      </c>
    </row>
    <row r="25" customFormat="false" ht="15" hidden="false" customHeight="false" outlineLevel="0" collapsed="false">
      <c r="A25" s="12" t="s">
        <v>89</v>
      </c>
      <c r="B25" s="13" t="s">
        <v>52</v>
      </c>
      <c r="C25" s="15" t="n">
        <v>0.004</v>
      </c>
      <c r="D25" s="15" t="n">
        <v>0.0035</v>
      </c>
      <c r="E25" s="15" t="n">
        <v>0.003</v>
      </c>
      <c r="F25" s="6" t="s">
        <v>90</v>
      </c>
    </row>
    <row r="26" customFormat="false" ht="15" hidden="false" customHeight="false" outlineLevel="0" collapsed="false">
      <c r="A26" s="12" t="s">
        <v>91</v>
      </c>
      <c r="B26" s="13" t="s">
        <v>52</v>
      </c>
      <c r="C26" s="15" t="n">
        <v>0.4</v>
      </c>
      <c r="D26" s="15" t="n">
        <v>0.38</v>
      </c>
      <c r="E26" s="15" t="n">
        <v>0.35</v>
      </c>
      <c r="F26" s="6" t="s">
        <v>92</v>
      </c>
    </row>
    <row r="27" customFormat="false" ht="15" hidden="false" customHeight="false" outlineLevel="0" collapsed="false">
      <c r="A27" s="12" t="s">
        <v>93</v>
      </c>
      <c r="B27" s="13" t="s">
        <v>49</v>
      </c>
      <c r="C27" s="14" t="n">
        <v>12</v>
      </c>
      <c r="D27" s="14" t="n">
        <v>11</v>
      </c>
      <c r="E27" s="14" t="n">
        <v>10</v>
      </c>
      <c r="F27" s="6" t="s">
        <v>94</v>
      </c>
    </row>
    <row r="28" customFormat="false" ht="19.5" hidden="false" customHeight="true" outlineLevel="0" collapsed="false">
      <c r="A28" s="11" t="s">
        <v>95</v>
      </c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2" t="s">
        <v>96</v>
      </c>
      <c r="B29" s="13" t="s">
        <v>52</v>
      </c>
      <c r="C29" s="15" t="n">
        <v>0.12</v>
      </c>
      <c r="D29" s="15" t="n">
        <v>0.22</v>
      </c>
      <c r="E29" s="15" t="n">
        <v>0.35</v>
      </c>
      <c r="F29" s="6" t="s">
        <v>97</v>
      </c>
    </row>
    <row r="30" customFormat="false" ht="15" hidden="false" customHeight="false" outlineLevel="0" collapsed="false">
      <c r="A30" s="12" t="s">
        <v>98</v>
      </c>
      <c r="B30" s="13" t="s">
        <v>49</v>
      </c>
      <c r="C30" s="14" t="n">
        <v>2500</v>
      </c>
      <c r="D30" s="14" t="n">
        <v>2500</v>
      </c>
      <c r="E30" s="14" t="n">
        <v>2000</v>
      </c>
      <c r="F30" s="6" t="s">
        <v>99</v>
      </c>
    </row>
    <row r="31" customFormat="false" ht="15" hidden="false" customHeight="false" outlineLevel="0" collapsed="false">
      <c r="A31" s="12" t="s">
        <v>100</v>
      </c>
      <c r="B31" s="13" t="s">
        <v>49</v>
      </c>
      <c r="C31" s="14" t="n">
        <v>500</v>
      </c>
      <c r="D31" s="14" t="n">
        <v>500</v>
      </c>
      <c r="E31" s="14" t="n">
        <v>500</v>
      </c>
      <c r="F31" s="6" t="s">
        <v>101</v>
      </c>
    </row>
    <row r="32" customFormat="false" ht="15" hidden="false" customHeight="false" outlineLevel="0" collapsed="false">
      <c r="A32" s="12" t="s">
        <v>102</v>
      </c>
      <c r="B32" s="13" t="s">
        <v>75</v>
      </c>
      <c r="C32" s="14" t="n">
        <v>8</v>
      </c>
      <c r="D32" s="14" t="n">
        <v>12</v>
      </c>
      <c r="E32" s="14" t="n">
        <v>16</v>
      </c>
      <c r="F32" s="6" t="s">
        <v>103</v>
      </c>
    </row>
    <row r="33" customFormat="false" ht="15" hidden="false" customHeight="false" outlineLevel="0" collapsed="false">
      <c r="A33" s="12" t="s">
        <v>104</v>
      </c>
      <c r="B33" s="13" t="s">
        <v>49</v>
      </c>
      <c r="C33" s="14" t="n">
        <v>12000</v>
      </c>
      <c r="D33" s="14" t="n">
        <v>14000</v>
      </c>
      <c r="E33" s="14" t="n">
        <v>16000</v>
      </c>
      <c r="F33" s="6" t="s">
        <v>105</v>
      </c>
    </row>
    <row r="34" customFormat="false" ht="15" hidden="false" customHeight="false" outlineLevel="0" collapsed="false">
      <c r="A34" s="12" t="s">
        <v>106</v>
      </c>
      <c r="B34" s="13" t="s">
        <v>52</v>
      </c>
      <c r="C34" s="15" t="n">
        <v>0.012</v>
      </c>
      <c r="D34" s="15" t="n">
        <v>0.012</v>
      </c>
      <c r="E34" s="15" t="n">
        <v>0.012</v>
      </c>
      <c r="F34" s="6" t="s">
        <v>107</v>
      </c>
    </row>
    <row r="35" customFormat="false" ht="15" hidden="false" customHeight="false" outlineLevel="0" collapsed="false">
      <c r="A35" s="12" t="s">
        <v>108</v>
      </c>
      <c r="B35" s="13" t="s">
        <v>49</v>
      </c>
      <c r="C35" s="14" t="n">
        <v>1500</v>
      </c>
      <c r="D35" s="14" t="n">
        <v>1400</v>
      </c>
      <c r="E35" s="14" t="n">
        <v>1300</v>
      </c>
      <c r="F35" s="6" t="s">
        <v>109</v>
      </c>
    </row>
    <row r="36" customFormat="false" ht="15" hidden="false" customHeight="false" outlineLevel="0" collapsed="false">
      <c r="A36" s="12" t="s">
        <v>110</v>
      </c>
      <c r="B36" s="13" t="s">
        <v>49</v>
      </c>
      <c r="C36" s="14" t="n">
        <v>25</v>
      </c>
      <c r="D36" s="14" t="n">
        <v>24</v>
      </c>
      <c r="E36" s="14" t="n">
        <v>22</v>
      </c>
      <c r="F36" s="6" t="s">
        <v>111</v>
      </c>
    </row>
    <row r="37" customFormat="false" ht="15" hidden="false" customHeight="false" outlineLevel="0" collapsed="false">
      <c r="A37" s="12" t="s">
        <v>112</v>
      </c>
      <c r="B37" s="13" t="s">
        <v>49</v>
      </c>
      <c r="C37" s="14" t="n">
        <v>18</v>
      </c>
      <c r="D37" s="14" t="n">
        <v>17</v>
      </c>
      <c r="E37" s="14" t="n">
        <v>15</v>
      </c>
      <c r="F37" s="6" t="s">
        <v>113</v>
      </c>
    </row>
    <row r="38" customFormat="false" ht="19.5" hidden="false" customHeight="true" outlineLevel="0" collapsed="false">
      <c r="A38" s="11" t="s">
        <v>114</v>
      </c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2" t="s">
        <v>115</v>
      </c>
      <c r="B39" s="13" t="s">
        <v>75</v>
      </c>
      <c r="C39" s="14" t="n">
        <v>4.5</v>
      </c>
      <c r="D39" s="14" t="n">
        <v>6</v>
      </c>
      <c r="E39" s="14" t="n">
        <v>8</v>
      </c>
      <c r="F39" s="6" t="s">
        <v>116</v>
      </c>
    </row>
    <row r="40" customFormat="false" ht="15" hidden="false" customHeight="false" outlineLevel="0" collapsed="false">
      <c r="A40" s="12" t="s">
        <v>117</v>
      </c>
      <c r="B40" s="13" t="s">
        <v>49</v>
      </c>
      <c r="C40" s="14" t="n">
        <v>4500</v>
      </c>
      <c r="D40" s="14" t="n">
        <v>5000</v>
      </c>
      <c r="E40" s="14" t="n">
        <v>5500</v>
      </c>
      <c r="F40" s="6" t="s">
        <v>78</v>
      </c>
    </row>
    <row r="41" customFormat="false" ht="15" hidden="false" customHeight="false" outlineLevel="0" collapsed="false">
      <c r="A41" s="12" t="s">
        <v>118</v>
      </c>
      <c r="B41" s="13" t="s">
        <v>52</v>
      </c>
      <c r="C41" s="15" t="n">
        <v>0.02</v>
      </c>
      <c r="D41" s="15" t="n">
        <v>0.02</v>
      </c>
      <c r="E41" s="15" t="n">
        <v>0.019</v>
      </c>
      <c r="F41" s="6" t="s">
        <v>119</v>
      </c>
    </row>
    <row r="42" customFormat="false" ht="15" hidden="false" customHeight="false" outlineLevel="0" collapsed="false">
      <c r="A42" s="12" t="s">
        <v>120</v>
      </c>
      <c r="B42" s="13" t="s">
        <v>52</v>
      </c>
      <c r="C42" s="15" t="n">
        <v>0.01</v>
      </c>
      <c r="D42" s="15" t="n">
        <v>0.011</v>
      </c>
      <c r="E42" s="15" t="n">
        <v>0.012</v>
      </c>
      <c r="F42" s="6" t="s">
        <v>121</v>
      </c>
    </row>
    <row r="43" customFormat="false" ht="15" hidden="false" customHeight="false" outlineLevel="0" collapsed="false">
      <c r="A43" s="12" t="s">
        <v>122</v>
      </c>
      <c r="B43" s="13" t="s">
        <v>52</v>
      </c>
      <c r="C43" s="15" t="n">
        <v>0.35</v>
      </c>
      <c r="D43" s="15" t="n">
        <v>0.32</v>
      </c>
      <c r="E43" s="15" t="n">
        <v>0.3</v>
      </c>
      <c r="F43" s="6" t="s">
        <v>123</v>
      </c>
    </row>
    <row r="44" customFormat="false" ht="19.5" hidden="false" customHeight="true" outlineLevel="0" collapsed="false">
      <c r="A44" s="11" t="s">
        <v>124</v>
      </c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2" t="s">
        <v>125</v>
      </c>
      <c r="B45" s="13" t="s">
        <v>126</v>
      </c>
      <c r="C45" s="14" t="n">
        <v>8</v>
      </c>
      <c r="D45" s="14" t="n">
        <v>14</v>
      </c>
      <c r="E45" s="14" t="n">
        <v>22</v>
      </c>
      <c r="F45" s="6" t="s">
        <v>127</v>
      </c>
    </row>
    <row r="46" customFormat="false" ht="15" hidden="false" customHeight="false" outlineLevel="0" collapsed="false">
      <c r="A46" s="12" t="s">
        <v>128</v>
      </c>
      <c r="B46" s="13" t="s">
        <v>126</v>
      </c>
      <c r="C46" s="14" t="n">
        <v>6</v>
      </c>
      <c r="D46" s="14" t="n">
        <v>12</v>
      </c>
      <c r="E46" s="14" t="n">
        <v>20</v>
      </c>
      <c r="F46" s="6" t="s">
        <v>129</v>
      </c>
    </row>
    <row r="47" customFormat="false" ht="15" hidden="false" customHeight="false" outlineLevel="0" collapsed="false">
      <c r="A47" s="12" t="s">
        <v>130</v>
      </c>
      <c r="B47" s="13" t="s">
        <v>126</v>
      </c>
      <c r="C47" s="14" t="n">
        <v>7</v>
      </c>
      <c r="D47" s="14" t="n">
        <v>14</v>
      </c>
      <c r="E47" s="14" t="n">
        <v>25</v>
      </c>
      <c r="F47" s="6" t="s">
        <v>131</v>
      </c>
    </row>
    <row r="48" customFormat="false" ht="15" hidden="false" customHeight="false" outlineLevel="0" collapsed="false">
      <c r="A48" s="12" t="s">
        <v>132</v>
      </c>
      <c r="B48" s="13" t="s">
        <v>126</v>
      </c>
      <c r="C48" s="14" t="n">
        <v>4</v>
      </c>
      <c r="D48" s="14" t="n">
        <v>6</v>
      </c>
      <c r="E48" s="14" t="n">
        <v>9</v>
      </c>
      <c r="F48" s="6" t="s">
        <v>133</v>
      </c>
    </row>
    <row r="49" customFormat="false" ht="15" hidden="false" customHeight="false" outlineLevel="0" collapsed="false">
      <c r="A49" s="12" t="s">
        <v>134</v>
      </c>
      <c r="B49" s="13" t="s">
        <v>135</v>
      </c>
      <c r="C49" s="14" t="n">
        <v>850000</v>
      </c>
      <c r="D49" s="14" t="n">
        <v>900000</v>
      </c>
      <c r="E49" s="14" t="n">
        <v>950000</v>
      </c>
      <c r="F49" s="6" t="s">
        <v>136</v>
      </c>
    </row>
    <row r="50" customFormat="false" ht="15" hidden="false" customHeight="false" outlineLevel="0" collapsed="false">
      <c r="A50" s="12" t="s">
        <v>137</v>
      </c>
      <c r="B50" s="13" t="s">
        <v>135</v>
      </c>
      <c r="C50" s="14" t="n">
        <v>650000</v>
      </c>
      <c r="D50" s="14" t="n">
        <v>700000</v>
      </c>
      <c r="E50" s="14" t="n">
        <v>750000</v>
      </c>
      <c r="F50" s="6" t="s">
        <v>138</v>
      </c>
    </row>
    <row r="51" customFormat="false" ht="15" hidden="false" customHeight="false" outlineLevel="0" collapsed="false">
      <c r="A51" s="12" t="s">
        <v>139</v>
      </c>
      <c r="B51" s="13" t="s">
        <v>135</v>
      </c>
      <c r="C51" s="14" t="n">
        <v>450000</v>
      </c>
      <c r="D51" s="14" t="n">
        <v>500000</v>
      </c>
      <c r="E51" s="14" t="n">
        <v>550000</v>
      </c>
      <c r="F51" s="6" t="s">
        <v>140</v>
      </c>
    </row>
    <row r="52" customFormat="false" ht="15" hidden="false" customHeight="false" outlineLevel="0" collapsed="false">
      <c r="A52" s="12" t="s">
        <v>141</v>
      </c>
      <c r="B52" s="13" t="s">
        <v>135</v>
      </c>
      <c r="C52" s="14" t="n">
        <v>950000</v>
      </c>
      <c r="D52" s="14" t="n">
        <v>1000000</v>
      </c>
      <c r="E52" s="14" t="n">
        <v>1100000</v>
      </c>
      <c r="F52" s="6" t="s">
        <v>142</v>
      </c>
    </row>
    <row r="53" customFormat="false" ht="19.5" hidden="false" customHeight="true" outlineLevel="0" collapsed="false">
      <c r="A53" s="11" t="s">
        <v>143</v>
      </c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2" t="s">
        <v>144</v>
      </c>
      <c r="B54" s="13" t="s">
        <v>145</v>
      </c>
      <c r="C54" s="14" t="n">
        <v>1800000</v>
      </c>
      <c r="D54" s="14" t="n">
        <v>2400000</v>
      </c>
      <c r="E54" s="14" t="n">
        <v>3500000</v>
      </c>
      <c r="F54" s="6" t="s">
        <v>146</v>
      </c>
    </row>
    <row r="55" customFormat="false" ht="15" hidden="false" customHeight="false" outlineLevel="0" collapsed="false">
      <c r="A55" s="12" t="s">
        <v>147</v>
      </c>
      <c r="B55" s="13" t="s">
        <v>145</v>
      </c>
      <c r="C55" s="14" t="n">
        <v>2200000</v>
      </c>
      <c r="D55" s="14" t="n">
        <v>3500000</v>
      </c>
      <c r="E55" s="14" t="n">
        <v>5500000</v>
      </c>
      <c r="F55" s="6" t="s">
        <v>148</v>
      </c>
    </row>
    <row r="56" customFormat="false" ht="15" hidden="false" customHeight="false" outlineLevel="0" collapsed="false">
      <c r="A56" s="12" t="s">
        <v>149</v>
      </c>
      <c r="B56" s="13" t="s">
        <v>145</v>
      </c>
      <c r="C56" s="14" t="n">
        <v>4500000</v>
      </c>
      <c r="D56" s="14" t="n">
        <v>8500000</v>
      </c>
      <c r="E56" s="14" t="n">
        <v>14000000</v>
      </c>
      <c r="F56" s="6" t="s">
        <v>150</v>
      </c>
    </row>
    <row r="57" customFormat="false" ht="15" hidden="false" customHeight="false" outlineLevel="0" collapsed="false">
      <c r="A57" s="12" t="s">
        <v>151</v>
      </c>
      <c r="B57" s="13" t="s">
        <v>145</v>
      </c>
      <c r="C57" s="14" t="n">
        <v>1200000</v>
      </c>
      <c r="D57" s="14" t="n">
        <v>1500000</v>
      </c>
      <c r="E57" s="14" t="n">
        <v>2000000</v>
      </c>
      <c r="F57" s="6" t="s">
        <v>152</v>
      </c>
    </row>
    <row r="58" customFormat="false" ht="15" hidden="false" customHeight="false" outlineLevel="0" collapsed="false">
      <c r="A58" s="12" t="s">
        <v>153</v>
      </c>
      <c r="B58" s="13" t="s">
        <v>145</v>
      </c>
      <c r="C58" s="14" t="n">
        <v>450000</v>
      </c>
      <c r="D58" s="14" t="n">
        <v>600000</v>
      </c>
      <c r="E58" s="14" t="n">
        <v>850000</v>
      </c>
      <c r="F58" s="6"/>
    </row>
    <row r="59" customFormat="false" ht="15" hidden="false" customHeight="false" outlineLevel="0" collapsed="false">
      <c r="A59" s="12" t="s">
        <v>154</v>
      </c>
      <c r="B59" s="13" t="s">
        <v>145</v>
      </c>
      <c r="C59" s="14" t="n">
        <v>800000</v>
      </c>
      <c r="D59" s="14" t="n">
        <v>1000000</v>
      </c>
      <c r="E59" s="14" t="n">
        <v>1500000</v>
      </c>
      <c r="F59" s="6" t="s">
        <v>155</v>
      </c>
    </row>
    <row r="60" customFormat="false" ht="19.5" hidden="false" customHeight="true" outlineLevel="0" collapsed="false">
      <c r="A60" s="11" t="s">
        <v>156</v>
      </c>
      <c r="B60" s="11"/>
      <c r="C60" s="11"/>
      <c r="D60" s="11"/>
      <c r="E60" s="11"/>
      <c r="F60" s="11"/>
    </row>
    <row r="61" customFormat="false" ht="15" hidden="false" customHeight="false" outlineLevel="0" collapsed="false">
      <c r="A61" s="12" t="s">
        <v>157</v>
      </c>
      <c r="B61" s="13" t="s">
        <v>158</v>
      </c>
      <c r="C61" s="14" t="n">
        <v>35000000</v>
      </c>
      <c r="D61" s="14" t="n">
        <v>25000000</v>
      </c>
      <c r="E61" s="14" t="n">
        <v>30000000</v>
      </c>
      <c r="F61" s="6" t="s">
        <v>159</v>
      </c>
    </row>
    <row r="62" customFormat="false" ht="15" hidden="false" customHeight="false" outlineLevel="0" collapsed="false">
      <c r="A62" s="12" t="s">
        <v>160</v>
      </c>
      <c r="B62" s="13" t="s">
        <v>158</v>
      </c>
      <c r="C62" s="14" t="n">
        <v>18000000</v>
      </c>
      <c r="D62" s="14" t="n">
        <v>12000000</v>
      </c>
      <c r="E62" s="14" t="n">
        <v>20000000</v>
      </c>
      <c r="F62" s="6" t="s">
        <v>161</v>
      </c>
    </row>
    <row r="63" customFormat="false" ht="15" hidden="false" customHeight="false" outlineLevel="0" collapsed="false">
      <c r="A63" s="12" t="s">
        <v>162</v>
      </c>
      <c r="B63" s="13" t="s">
        <v>158</v>
      </c>
      <c r="C63" s="14" t="n">
        <v>25000000</v>
      </c>
      <c r="D63" s="14" t="n">
        <v>5000000</v>
      </c>
      <c r="E63" s="14" t="n">
        <v>8000000</v>
      </c>
      <c r="F63" s="6" t="s">
        <v>163</v>
      </c>
    </row>
    <row r="64" customFormat="false" ht="15" hidden="false" customHeight="false" outlineLevel="0" collapsed="false">
      <c r="A64" s="12" t="s">
        <v>164</v>
      </c>
      <c r="B64" s="13" t="s">
        <v>165</v>
      </c>
      <c r="C64" s="14" t="n">
        <v>5</v>
      </c>
      <c r="D64" s="14" t="n">
        <v>5</v>
      </c>
      <c r="E64" s="14" t="n">
        <v>5</v>
      </c>
      <c r="F64" s="6" t="s">
        <v>166</v>
      </c>
    </row>
    <row r="65" customFormat="false" ht="19.5" hidden="false" customHeight="true" outlineLevel="0" collapsed="false">
      <c r="A65" s="11" t="s">
        <v>167</v>
      </c>
      <c r="B65" s="11"/>
      <c r="C65" s="11"/>
      <c r="D65" s="11"/>
      <c r="E65" s="11"/>
      <c r="F65" s="11"/>
    </row>
    <row r="66" customFormat="false" ht="15" hidden="false" customHeight="false" outlineLevel="0" collapsed="false">
      <c r="A66" s="12" t="s">
        <v>168</v>
      </c>
      <c r="B66" s="13" t="s">
        <v>49</v>
      </c>
      <c r="C66" s="14" t="n">
        <v>350000000</v>
      </c>
      <c r="D66" s="14" t="n">
        <v>0</v>
      </c>
      <c r="E66" s="14" t="n">
        <v>0</v>
      </c>
      <c r="F66" s="6" t="s">
        <v>169</v>
      </c>
    </row>
    <row r="67" customFormat="false" ht="15" hidden="false" customHeight="false" outlineLevel="0" collapsed="false">
      <c r="A67" s="12" t="s">
        <v>170</v>
      </c>
      <c r="B67" s="13" t="s">
        <v>49</v>
      </c>
      <c r="C67" s="14" t="n">
        <v>0</v>
      </c>
      <c r="D67" s="14" t="n">
        <v>800000000</v>
      </c>
      <c r="E67" s="14" t="n">
        <v>0</v>
      </c>
      <c r="F67" s="6" t="s">
        <v>171</v>
      </c>
    </row>
    <row r="68" customFormat="false" ht="15" hidden="false" customHeight="false" outlineLevel="0" collapsed="false">
      <c r="A68" s="12" t="s">
        <v>172</v>
      </c>
      <c r="B68" s="13" t="s">
        <v>49</v>
      </c>
      <c r="C68" s="14" t="n">
        <v>0</v>
      </c>
      <c r="D68" s="14" t="n">
        <v>0</v>
      </c>
      <c r="E68" s="14" t="n">
        <v>1500000000</v>
      </c>
      <c r="F68" s="6" t="s">
        <v>173</v>
      </c>
    </row>
    <row r="69" customFormat="false" ht="15" hidden="false" customHeight="false" outlineLevel="0" collapsed="false">
      <c r="A69" s="12" t="s">
        <v>174</v>
      </c>
      <c r="B69" s="13" t="s">
        <v>175</v>
      </c>
      <c r="C69" s="14" t="n">
        <v>5</v>
      </c>
      <c r="D69" s="14" t="n">
        <v>4</v>
      </c>
      <c r="E69" s="14" t="n">
        <v>3</v>
      </c>
      <c r="F69" s="6" t="s">
        <v>176</v>
      </c>
    </row>
    <row r="70" customFormat="false" ht="15" hidden="false" customHeight="false" outlineLevel="0" collapsed="false">
      <c r="A70" s="12" t="s">
        <v>177</v>
      </c>
      <c r="B70" s="13" t="s">
        <v>175</v>
      </c>
      <c r="C70" s="14" t="n">
        <v>30</v>
      </c>
      <c r="D70" s="14" t="n">
        <v>35</v>
      </c>
      <c r="E70" s="14" t="n">
        <v>40</v>
      </c>
      <c r="F70" s="6" t="s">
        <v>178</v>
      </c>
    </row>
    <row r="71" customFormat="false" ht="19.5" hidden="false" customHeight="true" outlineLevel="0" collapsed="false">
      <c r="A71" s="11" t="s">
        <v>179</v>
      </c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2" t="s">
        <v>180</v>
      </c>
      <c r="B72" s="13" t="s">
        <v>49</v>
      </c>
      <c r="C72" s="14" t="n">
        <v>3500</v>
      </c>
      <c r="D72" s="14" t="n">
        <v>3000</v>
      </c>
      <c r="E72" s="14" t="n">
        <v>2500</v>
      </c>
      <c r="F72" s="6" t="s">
        <v>181</v>
      </c>
    </row>
  </sheetData>
  <mergeCells count="11">
    <mergeCell ref="A1:F1"/>
    <mergeCell ref="A4:F4"/>
    <mergeCell ref="A9:F9"/>
    <mergeCell ref="A16:F16"/>
    <mergeCell ref="A28:F28"/>
    <mergeCell ref="A38:F38"/>
    <mergeCell ref="A44:F44"/>
    <mergeCell ref="A53:F53"/>
    <mergeCell ref="A60:F60"/>
    <mergeCell ref="A65:F65"/>
    <mergeCell ref="A71:F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7" min="2" style="0" width="14"/>
  </cols>
  <sheetData>
    <row r="1" customFormat="false" ht="31.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B2" s="16" t="s">
        <v>183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27.75" hidden="false" customHeight="true" outlineLevel="0" collapsed="false">
      <c r="A3" s="4" t="s">
        <v>184</v>
      </c>
      <c r="B3" s="4" t="s">
        <v>185</v>
      </c>
      <c r="C3" s="4" t="s">
        <v>186</v>
      </c>
      <c r="D3" s="4" t="s">
        <v>187</v>
      </c>
      <c r="E3" s="4" t="s">
        <v>188</v>
      </c>
      <c r="F3" s="4" t="s">
        <v>189</v>
      </c>
      <c r="G3" s="4" t="s">
        <v>190</v>
      </c>
      <c r="H3" s="4" t="s">
        <v>191</v>
      </c>
      <c r="I3" s="4" t="s">
        <v>192</v>
      </c>
      <c r="J3" s="4" t="s">
        <v>193</v>
      </c>
      <c r="K3" s="4" t="s">
        <v>194</v>
      </c>
      <c r="L3" s="4" t="s">
        <v>195</v>
      </c>
      <c r="M3" s="4" t="s">
        <v>196</v>
      </c>
      <c r="N3" s="4" t="s">
        <v>197</v>
      </c>
      <c r="O3" s="4" t="s">
        <v>44</v>
      </c>
      <c r="P3" s="4" t="s">
        <v>45</v>
      </c>
      <c r="Q3" s="4" t="s">
        <v>198</v>
      </c>
    </row>
    <row r="5" customFormat="false" ht="19.5" hidden="false" customHeight="true" outlineLevel="0" collapsed="false">
      <c r="A5" s="11" t="s">
        <v>199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" hidden="false" customHeight="false" outlineLevel="0" collapsed="false">
      <c r="A6" s="5" t="s">
        <v>200</v>
      </c>
      <c r="B6" s="17" t="n">
        <f aca="false">'2. Hypothèses'!$C$10+'2. Hypothèses'!$C$11</f>
        <v>8500</v>
      </c>
      <c r="C6" s="17" t="n">
        <f aca="false">B6*(1-'2. Hypothèses'!$C$14)+'2. Hypothèses'!$C$11</f>
        <v>11702.5</v>
      </c>
      <c r="D6" s="17" t="n">
        <f aca="false">C6*(1-'2. Hypothèses'!$C$14)+'2. Hypothèses'!$C$11</f>
        <v>14792.9125</v>
      </c>
      <c r="E6" s="17" t="n">
        <f aca="false">D6*(1-'2. Hypothèses'!$C$14)+'2. Hypothèses'!$C$11</f>
        <v>17775.1605625</v>
      </c>
      <c r="F6" s="17" t="n">
        <f aca="false">E6*(1-'2. Hypothèses'!$C$14)+'2. Hypothèses'!$C$11</f>
        <v>20653.0299428125</v>
      </c>
      <c r="G6" s="17" t="n">
        <f aca="false">F6*(1-'2. Hypothèses'!$C$14)+'2. Hypothèses'!$C$11</f>
        <v>23430.1738948141</v>
      </c>
      <c r="H6" s="17" t="n">
        <f aca="false">G6*(1-'2. Hypothèses'!$C$14)+'2. Hypothèses'!$C$11</f>
        <v>26110.1178084956</v>
      </c>
      <c r="I6" s="17" t="n">
        <f aca="false">H6*(1-'2. Hypothèses'!$C$14)+'2. Hypothèses'!$C$11</f>
        <v>28696.2636851982</v>
      </c>
      <c r="J6" s="17" t="n">
        <f aca="false">I6*(1-'2. Hypothèses'!$C$14)+'2. Hypothèses'!$C$11</f>
        <v>31191.8944562163</v>
      </c>
      <c r="K6" s="17" t="n">
        <f aca="false">J6*(1-'2. Hypothèses'!$C$14)+'2. Hypothèses'!$C$11</f>
        <v>33600.1781502487</v>
      </c>
      <c r="L6" s="17" t="n">
        <f aca="false">K6*(1-'2. Hypothèses'!$C$14)+'2. Hypothèses'!$C$11</f>
        <v>35924.17191499</v>
      </c>
      <c r="M6" s="17" t="n">
        <f aca="false">L6*(1-'2. Hypothèses'!$C$14)+'2. Hypothèses'!$C$11</f>
        <v>38166.8258979654</v>
      </c>
      <c r="N6" s="18" t="n">
        <f aca="false">M6</f>
        <v>38166.8258979654</v>
      </c>
      <c r="O6" s="17" t="n">
        <f aca="false">M6*(1-'2. Hypothèses'!$D$14)^12+'2. Hypothèses'!$D$12*12</f>
        <v>118167.054378152</v>
      </c>
      <c r="P6" s="17" t="n">
        <f aca="false">O6*(1-'2. Hypothèses'!$E$14)^12+'2. Hypothèses'!$E$13*12</f>
        <v>236727.663765016</v>
      </c>
      <c r="Q6" s="18" t="n">
        <f aca="false">P6</f>
        <v>236727.663765016</v>
      </c>
    </row>
    <row r="7" customFormat="false" ht="15" hidden="false" customHeight="false" outlineLevel="0" collapsed="false">
      <c r="A7" s="5" t="s">
        <v>201</v>
      </c>
      <c r="B7" s="17" t="n">
        <f aca="false">B6*'2. Hypothèses'!$C$15</f>
        <v>4675</v>
      </c>
      <c r="C7" s="17" t="n">
        <f aca="false">C6*'2. Hypothèses'!$C$15</f>
        <v>6436.375</v>
      </c>
      <c r="D7" s="17" t="n">
        <f aca="false">D6*'2. Hypothèses'!$C$15</f>
        <v>8136.101875</v>
      </c>
      <c r="E7" s="17" t="n">
        <f aca="false">E6*'2. Hypothèses'!$C$15</f>
        <v>9776.338309375</v>
      </c>
      <c r="F7" s="17" t="n">
        <f aca="false">F6*'2. Hypothèses'!$C$15</f>
        <v>11359.1664685469</v>
      </c>
      <c r="G7" s="17" t="n">
        <f aca="false">G6*'2. Hypothèses'!$C$15</f>
        <v>12886.5956421477</v>
      </c>
      <c r="H7" s="17" t="n">
        <f aca="false">H6*'2. Hypothèses'!$C$15</f>
        <v>14360.5647946726</v>
      </c>
      <c r="I7" s="17" t="n">
        <f aca="false">I6*'2. Hypothèses'!$C$15</f>
        <v>15782.945026859</v>
      </c>
      <c r="J7" s="17" t="n">
        <f aca="false">J6*'2. Hypothèses'!$C$15</f>
        <v>17155.541950919</v>
      </c>
      <c r="K7" s="17" t="n">
        <f aca="false">K6*'2. Hypothèses'!$C$15</f>
        <v>18480.0979826368</v>
      </c>
      <c r="L7" s="17" t="n">
        <f aca="false">L6*'2. Hypothèses'!$C$15</f>
        <v>19758.2945532445</v>
      </c>
      <c r="M7" s="17" t="n">
        <f aca="false">M6*'2. Hypothèses'!$C$15</f>
        <v>20991.7542438809</v>
      </c>
      <c r="N7" s="18" t="n">
        <f aca="false">AVERAGE(B7:M7)</f>
        <v>13316.5646539402</v>
      </c>
      <c r="O7" s="17" t="n">
        <f aca="false">O6*'2. Hypothèses'!$D$15</f>
        <v>73263.5737144544</v>
      </c>
      <c r="P7" s="17" t="n">
        <f aca="false">P6*'2. Hypothèses'!$E$15</f>
        <v>160974.811360211</v>
      </c>
      <c r="Q7" s="18" t="n">
        <f aca="false">AVERAGE(N7,O7,P7)</f>
        <v>82518.3165762017</v>
      </c>
    </row>
    <row r="9" customFormat="false" ht="19.5" hidden="false" customHeight="true" outlineLevel="0" collapsed="false">
      <c r="A9" s="11" t="s">
        <v>202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15" hidden="false" customHeight="false" outlineLevel="0" collapsed="false">
      <c r="A10" s="6" t="s">
        <v>203</v>
      </c>
      <c r="B10" s="19" t="n">
        <f aca="false">B7*'2. Hypothèses'!$C$17*'2. Hypothèses'!$C$18</f>
        <v>409062500</v>
      </c>
      <c r="C10" s="19" t="n">
        <f aca="false">C7*'2. Hypothèses'!$C$17*'2. Hypothèses'!$C$18</f>
        <v>563182812.5</v>
      </c>
      <c r="D10" s="19" t="n">
        <f aca="false">D7*'2. Hypothèses'!$C$17*'2. Hypothèses'!$C$18</f>
        <v>711908914.0625</v>
      </c>
      <c r="E10" s="19" t="n">
        <f aca="false">E7*'2. Hypothèses'!$C$17*'2. Hypothèses'!$C$18</f>
        <v>855429602.070313</v>
      </c>
      <c r="F10" s="19" t="n">
        <f aca="false">F7*'2. Hypothèses'!$C$17*'2. Hypothèses'!$C$18</f>
        <v>993927065.997852</v>
      </c>
      <c r="G10" s="19" t="n">
        <f aca="false">G7*'2. Hypothèses'!$C$17*'2. Hypothèses'!$C$18</f>
        <v>1127577118.68793</v>
      </c>
      <c r="H10" s="19" t="n">
        <f aca="false">H7*'2. Hypothèses'!$C$17*'2. Hypothèses'!$C$18</f>
        <v>1256549419.53385</v>
      </c>
      <c r="I10" s="19" t="n">
        <f aca="false">I7*'2. Hypothèses'!$C$17*'2. Hypothèses'!$C$18</f>
        <v>1381007689.85016</v>
      </c>
      <c r="J10" s="19" t="n">
        <f aca="false">J7*'2. Hypothèses'!$C$17*'2. Hypothèses'!$C$18</f>
        <v>1501109920.70541</v>
      </c>
      <c r="K10" s="19" t="n">
        <f aca="false">K7*'2. Hypothèses'!$C$17*'2. Hypothèses'!$C$18</f>
        <v>1617008573.48072</v>
      </c>
      <c r="L10" s="19" t="n">
        <f aca="false">L7*'2. Hypothèses'!$C$17*'2. Hypothèses'!$C$18</f>
        <v>1728850773.40889</v>
      </c>
      <c r="M10" s="19" t="n">
        <f aca="false">M7*'2. Hypothèses'!$C$17*'2. Hypothèses'!$C$18</f>
        <v>1836778496.33958</v>
      </c>
      <c r="N10" s="20" t="n">
        <f aca="false">SUM(B10:M10)</f>
        <v>13982392886.6372</v>
      </c>
      <c r="O10" s="19" t="n">
        <f aca="false">O7*'2. Hypothèses'!$D$17*'2. Hypothèses'!$D$18*12</f>
        <v>110774523456.255</v>
      </c>
      <c r="P10" s="19" t="n">
        <f aca="false">P7*'2. Hypothèses'!$E$17*'2. Hypothèses'!$E$18*12</f>
        <v>318730126493.217</v>
      </c>
      <c r="Q10" s="20" t="n">
        <f aca="false">N10+O10+P10</f>
        <v>443487042836.109</v>
      </c>
    </row>
    <row r="11" customFormat="false" ht="15" hidden="false" customHeight="false" outlineLevel="0" collapsed="false">
      <c r="A11" s="6" t="s">
        <v>204</v>
      </c>
      <c r="B11" s="19" t="n">
        <f aca="false">B7*'2. Hypothèses'!$C$17*MAX('2. Hypothèses'!$C$18*'2. Hypothèses'!$C$19,'2. Hypothèses'!$C$20)</f>
        <v>6135937.5</v>
      </c>
      <c r="C11" s="19" t="n">
        <f aca="false">C7*'2. Hypothèses'!$C$17*MAX('2. Hypothèses'!$C$18*'2. Hypothèses'!$C$19,'2. Hypothèses'!$C$20)</f>
        <v>8447742.1875</v>
      </c>
      <c r="D11" s="19" t="n">
        <f aca="false">D7*'2. Hypothèses'!$C$17*MAX('2. Hypothèses'!$C$18*'2. Hypothèses'!$C$19,'2. Hypothèses'!$C$20)</f>
        <v>10678633.7109375</v>
      </c>
      <c r="E11" s="19" t="n">
        <f aca="false">E7*'2. Hypothèses'!$C$17*MAX('2. Hypothèses'!$C$18*'2. Hypothèses'!$C$19,'2. Hypothèses'!$C$20)</f>
        <v>12831444.0310547</v>
      </c>
      <c r="F11" s="19" t="n">
        <f aca="false">F7*'2. Hypothèses'!$C$17*MAX('2. Hypothèses'!$C$18*'2. Hypothèses'!$C$19,'2. Hypothèses'!$C$20)</f>
        <v>14908905.9899678</v>
      </c>
      <c r="G11" s="19" t="n">
        <f aca="false">G7*'2. Hypothèses'!$C$17*MAX('2. Hypothèses'!$C$18*'2. Hypothèses'!$C$19,'2. Hypothèses'!$C$20)</f>
        <v>16913656.7803189</v>
      </c>
      <c r="H11" s="19" t="n">
        <f aca="false">H7*'2. Hypothèses'!$C$17*MAX('2. Hypothèses'!$C$18*'2. Hypothèses'!$C$19,'2. Hypothèses'!$C$20)</f>
        <v>18848241.2930077</v>
      </c>
      <c r="I11" s="19" t="n">
        <f aca="false">I7*'2. Hypothèses'!$C$17*MAX('2. Hypothèses'!$C$18*'2. Hypothèses'!$C$19,'2. Hypothèses'!$C$20)</f>
        <v>20715115.3477525</v>
      </c>
      <c r="J11" s="19" t="n">
        <f aca="false">J7*'2. Hypothèses'!$C$17*MAX('2. Hypothèses'!$C$18*'2. Hypothèses'!$C$19,'2. Hypothèses'!$C$20)</f>
        <v>22516648.8105811</v>
      </c>
      <c r="K11" s="19" t="n">
        <f aca="false">K7*'2. Hypothèses'!$C$17*MAX('2. Hypothèses'!$C$18*'2. Hypothèses'!$C$19,'2. Hypothèses'!$C$20)</f>
        <v>24255128.6022108</v>
      </c>
      <c r="L11" s="19" t="n">
        <f aca="false">L7*'2. Hypothèses'!$C$17*MAX('2. Hypothèses'!$C$18*'2. Hypothèses'!$C$19,'2. Hypothèses'!$C$20)</f>
        <v>25932761.6011334</v>
      </c>
      <c r="M11" s="19" t="n">
        <f aca="false">M7*'2. Hypothèses'!$C$17*MAX('2. Hypothèses'!$C$18*'2. Hypothèses'!$C$19,'2. Hypothèses'!$C$20)</f>
        <v>27551677.4450937</v>
      </c>
      <c r="N11" s="20" t="n">
        <f aca="false">SUM(B11:M11)</f>
        <v>209735893.299558</v>
      </c>
      <c r="O11" s="19" t="n">
        <f aca="false">O7*'2. Hypothèses'!$D$17*MAX('2. Hypothèses'!$D$18*'2. Hypothèses'!$D$19,'2. Hypothèses'!$D$20)*12</f>
        <v>1661617851.84383</v>
      </c>
      <c r="P11" s="19" t="n">
        <f aca="false">P7*'2. Hypothèses'!$E$17*MAX('2. Hypothèses'!$E$18*'2. Hypothèses'!$E$19,'2. Hypothèses'!$E$20)*12</f>
        <v>4462221770.90504</v>
      </c>
      <c r="Q11" s="20" t="n">
        <f aca="false">N11+O11+P11</f>
        <v>6333575516.04842</v>
      </c>
    </row>
    <row r="12" customFormat="false" ht="15" hidden="false" customHeight="false" outlineLevel="0" collapsed="false">
      <c r="A12" s="6" t="s">
        <v>205</v>
      </c>
      <c r="B12" s="19" t="n">
        <f aca="false">B7*'2. Hypothèses'!$C$21*'2. Hypothèses'!$C$22</f>
        <v>294525000</v>
      </c>
      <c r="C12" s="19" t="n">
        <f aca="false">C7*'2. Hypothèses'!$C$21*'2. Hypothèses'!$C$22</f>
        <v>405491625</v>
      </c>
      <c r="D12" s="19" t="n">
        <f aca="false">D7*'2. Hypothèses'!$C$21*'2. Hypothèses'!$C$22</f>
        <v>512574418.125</v>
      </c>
      <c r="E12" s="19" t="n">
        <f aca="false">E7*'2. Hypothèses'!$C$21*'2. Hypothèses'!$C$22</f>
        <v>615909313.490625</v>
      </c>
      <c r="F12" s="19" t="n">
        <f aca="false">F7*'2. Hypothèses'!$C$21*'2. Hypothèses'!$C$22</f>
        <v>715627487.518453</v>
      </c>
      <c r="G12" s="19" t="n">
        <f aca="false">G7*'2. Hypothèses'!$C$21*'2. Hypothèses'!$C$22</f>
        <v>811855525.455307</v>
      </c>
      <c r="H12" s="19" t="n">
        <f aca="false">H7*'2. Hypothèses'!$C$21*'2. Hypothèses'!$C$22</f>
        <v>904715582.064372</v>
      </c>
      <c r="I12" s="19" t="n">
        <f aca="false">I7*'2. Hypothèses'!$C$21*'2. Hypothèses'!$C$22</f>
        <v>994325536.692119</v>
      </c>
      <c r="J12" s="19" t="n">
        <f aca="false">J7*'2. Hypothèses'!$C$21*'2. Hypothèses'!$C$22</f>
        <v>1080799142.90789</v>
      </c>
      <c r="K12" s="19" t="n">
        <f aca="false">K7*'2. Hypothèses'!$C$21*'2. Hypothèses'!$C$22</f>
        <v>1164246172.90612</v>
      </c>
      <c r="L12" s="19" t="n">
        <f aca="false">L7*'2. Hypothèses'!$C$21*'2. Hypothèses'!$C$22</f>
        <v>1244772556.8544</v>
      </c>
      <c r="M12" s="19" t="n">
        <f aca="false">M7*'2. Hypothèses'!$C$21*'2. Hypothèses'!$C$22</f>
        <v>1322480517.3645</v>
      </c>
      <c r="N12" s="20" t="n">
        <f aca="false">SUM(B12:M12)</f>
        <v>10067322878.3788</v>
      </c>
      <c r="O12" s="19" t="n">
        <f aca="false">O7*'2. Hypothèses'!$D$21*'2. Hypothèses'!$D$22*12</f>
        <v>87916288457.3453</v>
      </c>
      <c r="P12" s="19" t="n">
        <f aca="false">P7*'2. Hypothèses'!$E$21*'2. Hypothèses'!$E$22*12</f>
        <v>278164474030.444</v>
      </c>
      <c r="Q12" s="20" t="n">
        <f aca="false">N12+O12+P12</f>
        <v>376148085366.168</v>
      </c>
    </row>
    <row r="13" customFormat="false" ht="15" hidden="false" customHeight="false" outlineLevel="0" collapsed="false">
      <c r="A13" s="6" t="s">
        <v>206</v>
      </c>
      <c r="B13" s="19" t="n">
        <f aca="false">B7*'2. Hypothèses'!$C$21*MAX('2. Hypothèses'!$C$22*'2. Hypothèses'!$C$23,'2. Hypothèses'!$C$24)</f>
        <v>5301450</v>
      </c>
      <c r="C13" s="19" t="n">
        <f aca="false">C7*'2. Hypothèses'!$C$21*MAX('2. Hypothèses'!$C$22*'2. Hypothèses'!$C$23,'2. Hypothèses'!$C$24)</f>
        <v>7298849.25</v>
      </c>
      <c r="D13" s="19" t="n">
        <f aca="false">D7*'2. Hypothèses'!$C$21*MAX('2. Hypothèses'!$C$22*'2. Hypothèses'!$C$23,'2. Hypothèses'!$C$24)</f>
        <v>9226339.52625</v>
      </c>
      <c r="E13" s="19" t="n">
        <f aca="false">E7*'2. Hypothèses'!$C$21*MAX('2. Hypothèses'!$C$22*'2. Hypothèses'!$C$23,'2. Hypothèses'!$C$24)</f>
        <v>11086367.6428313</v>
      </c>
      <c r="F13" s="19" t="n">
        <f aca="false">F7*'2. Hypothèses'!$C$21*MAX('2. Hypothèses'!$C$22*'2. Hypothèses'!$C$23,'2. Hypothèses'!$C$24)</f>
        <v>12881294.7753322</v>
      </c>
      <c r="G13" s="19" t="n">
        <f aca="false">G7*'2. Hypothèses'!$C$21*MAX('2. Hypothèses'!$C$22*'2. Hypothèses'!$C$23,'2. Hypothèses'!$C$24)</f>
        <v>14613399.4581955</v>
      </c>
      <c r="H13" s="19" t="n">
        <f aca="false">H7*'2. Hypothèses'!$C$21*MAX('2. Hypothèses'!$C$22*'2. Hypothèses'!$C$23,'2. Hypothèses'!$C$24)</f>
        <v>16284880.4771587</v>
      </c>
      <c r="I13" s="19" t="n">
        <f aca="false">I7*'2. Hypothèses'!$C$21*MAX('2. Hypothèses'!$C$22*'2. Hypothèses'!$C$23,'2. Hypothèses'!$C$24)</f>
        <v>17897859.6604581</v>
      </c>
      <c r="J13" s="19" t="n">
        <f aca="false">J7*'2. Hypothèses'!$C$21*MAX('2. Hypothèses'!$C$22*'2. Hypothèses'!$C$23,'2. Hypothèses'!$C$24)</f>
        <v>19454384.5723421</v>
      </c>
      <c r="K13" s="19" t="n">
        <f aca="false">K7*'2. Hypothèses'!$C$21*MAX('2. Hypothèses'!$C$22*'2. Hypothèses'!$C$23,'2. Hypothèses'!$C$24)</f>
        <v>20956431.1123101</v>
      </c>
      <c r="L13" s="19" t="n">
        <f aca="false">L7*'2. Hypothèses'!$C$21*MAX('2. Hypothèses'!$C$22*'2. Hypothèses'!$C$23,'2. Hypothèses'!$C$24)</f>
        <v>22405906.0233793</v>
      </c>
      <c r="M13" s="19" t="n">
        <f aca="false">M7*'2. Hypothèses'!$C$21*MAX('2. Hypothèses'!$C$22*'2. Hypothèses'!$C$23,'2. Hypothèses'!$C$24)</f>
        <v>23804649.312561</v>
      </c>
      <c r="N13" s="20" t="n">
        <f aca="false">SUM(B13:M13)</f>
        <v>181211811.810818</v>
      </c>
      <c r="O13" s="19" t="n">
        <f aca="false">O7*'2. Hypothèses'!$D$21*MAX('2. Hypothèses'!$D$22*'2. Hypothèses'!$D$23,'2. Hypothèses'!$D$24)*12</f>
        <v>1582493192.23221</v>
      </c>
      <c r="P13" s="19" t="n">
        <f aca="false">P7*'2. Hypothèses'!$E$21*MAX('2. Hypothèses'!$E$22*'2. Hypothèses'!$E$23,'2. Hypothèses'!$E$24)*12</f>
        <v>4728796058.51755</v>
      </c>
      <c r="Q13" s="20" t="n">
        <f aca="false">N13+O13+P13</f>
        <v>6492501062.56058</v>
      </c>
    </row>
    <row r="14" customFormat="false" ht="15" hidden="false" customHeight="false" outlineLevel="0" collapsed="false">
      <c r="A14" s="21" t="s">
        <v>207</v>
      </c>
      <c r="B14" s="22" t="n">
        <f aca="false">B11+B13</f>
        <v>11437387.5</v>
      </c>
      <c r="C14" s="22" t="n">
        <f aca="false">C11+C13</f>
        <v>15746591.4375</v>
      </c>
      <c r="D14" s="22" t="n">
        <f aca="false">D11+D13</f>
        <v>19904973.2371875</v>
      </c>
      <c r="E14" s="22" t="n">
        <f aca="false">E11+E13</f>
        <v>23917811.6738859</v>
      </c>
      <c r="F14" s="22" t="n">
        <f aca="false">F11+F13</f>
        <v>27790200.7652999</v>
      </c>
      <c r="G14" s="22" t="n">
        <f aca="false">G11+G13</f>
        <v>31527056.2385144</v>
      </c>
      <c r="H14" s="22" t="n">
        <f aca="false">H11+H13</f>
        <v>35133121.7701664</v>
      </c>
      <c r="I14" s="22" t="n">
        <f aca="false">I11+I13</f>
        <v>38612975.0082106</v>
      </c>
      <c r="J14" s="22" t="n">
        <f aca="false">J11+J13</f>
        <v>41971033.3829232</v>
      </c>
      <c r="K14" s="22" t="n">
        <f aca="false">K11+K13</f>
        <v>45211559.7145209</v>
      </c>
      <c r="L14" s="22" t="n">
        <f aca="false">L11+L13</f>
        <v>48338667.6245127</v>
      </c>
      <c r="M14" s="22" t="n">
        <f aca="false">M11+M13</f>
        <v>51356326.7576547</v>
      </c>
      <c r="N14" s="22" t="n">
        <f aca="false">N11+N13</f>
        <v>390947705.110377</v>
      </c>
      <c r="O14" s="22" t="n">
        <f aca="false">O11+O13</f>
        <v>3244111044.07604</v>
      </c>
      <c r="P14" s="22" t="n">
        <f aca="false">P11+P13</f>
        <v>9191017829.42259</v>
      </c>
      <c r="Q14" s="22" t="n">
        <f aca="false">Q11+Q13</f>
        <v>12826076578.609</v>
      </c>
    </row>
    <row r="16" customFormat="false" ht="19.5" hidden="false" customHeight="true" outlineLevel="0" collapsed="false">
      <c r="A16" s="11" t="s">
        <v>208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customFormat="false" ht="15" hidden="false" customHeight="false" outlineLevel="0" collapsed="false">
      <c r="A17" s="6" t="s">
        <v>209</v>
      </c>
      <c r="B17" s="17" t="n">
        <f aca="false">B7*'2. Hypothèses'!$C$29</f>
        <v>561</v>
      </c>
      <c r="C17" s="17" t="n">
        <f aca="false">C7*'2. Hypothèses'!$C$29</f>
        <v>772.365</v>
      </c>
      <c r="D17" s="17" t="n">
        <f aca="false">D7*'2. Hypothèses'!$C$29</f>
        <v>976.332225</v>
      </c>
      <c r="E17" s="17" t="n">
        <f aca="false">E7*'2. Hypothèses'!$C$29</f>
        <v>1173.160597125</v>
      </c>
      <c r="F17" s="17" t="n">
        <f aca="false">F7*'2. Hypothèses'!$C$29</f>
        <v>1363.09997622563</v>
      </c>
      <c r="G17" s="17" t="n">
        <f aca="false">G7*'2. Hypothèses'!$C$29</f>
        <v>1546.39147705773</v>
      </c>
      <c r="H17" s="17" t="n">
        <f aca="false">H7*'2. Hypothèses'!$C$29</f>
        <v>1723.26777536071</v>
      </c>
      <c r="I17" s="17" t="n">
        <f aca="false">I7*'2. Hypothèses'!$C$29</f>
        <v>1893.95340322308</v>
      </c>
      <c r="J17" s="17" t="n">
        <f aca="false">J7*'2. Hypothèses'!$C$29</f>
        <v>2058.66503411028</v>
      </c>
      <c r="K17" s="17" t="n">
        <f aca="false">K7*'2. Hypothèses'!$C$29</f>
        <v>2217.61175791642</v>
      </c>
      <c r="L17" s="17" t="n">
        <f aca="false">L7*'2. Hypothèses'!$C$29</f>
        <v>2370.99534638934</v>
      </c>
      <c r="M17" s="17" t="n">
        <f aca="false">M7*'2. Hypothèses'!$C$29</f>
        <v>2519.01050926571</v>
      </c>
      <c r="N17" s="18" t="n">
        <f aca="false">M17</f>
        <v>2519.01050926571</v>
      </c>
      <c r="O17" s="17" t="n">
        <f aca="false">O7*'2. Hypothèses'!$D$29</f>
        <v>16117.98621718</v>
      </c>
      <c r="P17" s="17" t="n">
        <f aca="false">P7*'2. Hypothèses'!$E$29</f>
        <v>56341.1839760737</v>
      </c>
      <c r="Q17" s="18" t="n">
        <f aca="false">P17</f>
        <v>56341.1839760737</v>
      </c>
    </row>
    <row r="18" customFormat="false" ht="15" hidden="false" customHeight="false" outlineLevel="0" collapsed="false">
      <c r="A18" s="6" t="s">
        <v>210</v>
      </c>
      <c r="B18" s="18" t="n">
        <f aca="false">B17</f>
        <v>561</v>
      </c>
      <c r="C18" s="18" t="n">
        <f aca="false">MAX(0,C17-B17)</f>
        <v>211.365</v>
      </c>
      <c r="D18" s="18" t="n">
        <f aca="false">MAX(0,D17-C17)</f>
        <v>203.967225</v>
      </c>
      <c r="E18" s="18" t="n">
        <f aca="false">MAX(0,E17-D17)</f>
        <v>196.828372125</v>
      </c>
      <c r="F18" s="18" t="n">
        <f aca="false">MAX(0,F17-E17)</f>
        <v>189.939379100625</v>
      </c>
      <c r="G18" s="18" t="n">
        <f aca="false">MAX(0,G17-F17)</f>
        <v>183.291500832103</v>
      </c>
      <c r="H18" s="18" t="n">
        <f aca="false">MAX(0,H17-G17)</f>
        <v>176.87629830298</v>
      </c>
      <c r="I18" s="18" t="n">
        <f aca="false">MAX(0,I17-H17)</f>
        <v>170.685627862375</v>
      </c>
      <c r="J18" s="18" t="n">
        <f aca="false">MAX(0,J17-I17)</f>
        <v>164.711630887192</v>
      </c>
      <c r="K18" s="18" t="n">
        <f aca="false">MAX(0,K17-J17)</f>
        <v>158.94672380614</v>
      </c>
      <c r="L18" s="18" t="n">
        <f aca="false">MAX(0,L17-K17)</f>
        <v>153.383588472926</v>
      </c>
      <c r="M18" s="18" t="n">
        <f aca="false">MAX(0,M17-L17)</f>
        <v>148.015162876373</v>
      </c>
      <c r="N18" s="18" t="n">
        <f aca="false">SUM(B18:M18)</f>
        <v>2519.01050926571</v>
      </c>
      <c r="O18" s="18" t="n">
        <f aca="false">MAX(0,O17-M17)</f>
        <v>13598.9757079142</v>
      </c>
      <c r="P18" s="18" t="n">
        <f aca="false">MAX(0,P17-O17)</f>
        <v>40223.1977588937</v>
      </c>
      <c r="Q18" s="18" t="n">
        <f aca="false">N18+O18+P18</f>
        <v>56341.1839760737</v>
      </c>
    </row>
    <row r="19" customFormat="false" ht="15" hidden="false" customHeight="false" outlineLevel="0" collapsed="false">
      <c r="A19" s="6" t="s">
        <v>211</v>
      </c>
      <c r="B19" s="19" t="n">
        <f aca="false">B18*'2. Hypothèses'!$C$30</f>
        <v>1402500</v>
      </c>
      <c r="C19" s="19" t="n">
        <f aca="false">C18*'2. Hypothèses'!$C$30</f>
        <v>528412.5</v>
      </c>
      <c r="D19" s="19" t="n">
        <f aca="false">D18*'2. Hypothèses'!$C$30</f>
        <v>509918.0625</v>
      </c>
      <c r="E19" s="19" t="n">
        <f aca="false">E18*'2. Hypothèses'!$C$30</f>
        <v>492070.9303125</v>
      </c>
      <c r="F19" s="19" t="n">
        <f aca="false">F18*'2. Hypothèses'!$C$30</f>
        <v>474848.447751563</v>
      </c>
      <c r="G19" s="19" t="n">
        <f aca="false">G18*'2. Hypothèses'!$C$30</f>
        <v>458228.752080257</v>
      </c>
      <c r="H19" s="19" t="n">
        <f aca="false">H18*'2. Hypothèses'!$C$30</f>
        <v>442190.745757449</v>
      </c>
      <c r="I19" s="19" t="n">
        <f aca="false">I18*'2. Hypothèses'!$C$30</f>
        <v>426714.069655938</v>
      </c>
      <c r="J19" s="19" t="n">
        <f aca="false">J18*'2. Hypothèses'!$C$30</f>
        <v>411779.07721798</v>
      </c>
      <c r="K19" s="19" t="n">
        <f aca="false">K18*'2. Hypothèses'!$C$30</f>
        <v>397366.809515351</v>
      </c>
      <c r="L19" s="19" t="n">
        <f aca="false">L18*'2. Hypothèses'!$C$30</f>
        <v>383458.971182314</v>
      </c>
      <c r="M19" s="19" t="n">
        <f aca="false">M18*'2. Hypothèses'!$C$30</f>
        <v>370037.907190932</v>
      </c>
      <c r="N19" s="20" t="n">
        <f aca="false">SUM(B19:M19)</f>
        <v>6297526.27316428</v>
      </c>
      <c r="O19" s="19" t="n">
        <f aca="false">O18*'2. Hypothèses'!$D$30</f>
        <v>33997439.2697856</v>
      </c>
      <c r="P19" s="19" t="n">
        <f aca="false">P18*'2. Hypothèses'!$E$30</f>
        <v>80446395.5177875</v>
      </c>
      <c r="Q19" s="20" t="n">
        <f aca="false">N19+O19+P19</f>
        <v>120741361.060737</v>
      </c>
    </row>
    <row r="20" customFormat="false" ht="15" hidden="false" customHeight="false" outlineLevel="0" collapsed="false">
      <c r="A20" s="6" t="s">
        <v>212</v>
      </c>
      <c r="B20" s="19" t="n">
        <f aca="false">B17*'2. Hypothèses'!$C$31</f>
        <v>280500</v>
      </c>
      <c r="C20" s="19" t="n">
        <f aca="false">C17*'2. Hypothèses'!$C$31</f>
        <v>386182.5</v>
      </c>
      <c r="D20" s="19" t="n">
        <f aca="false">D17*'2. Hypothèses'!$C$31</f>
        <v>488166.1125</v>
      </c>
      <c r="E20" s="19" t="n">
        <f aca="false">E17*'2. Hypothèses'!$C$31</f>
        <v>586580.2985625</v>
      </c>
      <c r="F20" s="19" t="n">
        <f aca="false">F17*'2. Hypothèses'!$C$31</f>
        <v>681549.988112813</v>
      </c>
      <c r="G20" s="19" t="n">
        <f aca="false">G17*'2. Hypothèses'!$C$31</f>
        <v>773195.738528864</v>
      </c>
      <c r="H20" s="19" t="n">
        <f aca="false">H17*'2. Hypothèses'!$C$31</f>
        <v>861633.887680354</v>
      </c>
      <c r="I20" s="19" t="n">
        <f aca="false">I17*'2. Hypothèses'!$C$31</f>
        <v>946976.701611541</v>
      </c>
      <c r="J20" s="19" t="n">
        <f aca="false">J17*'2. Hypothèses'!$C$31</f>
        <v>1029332.51705514</v>
      </c>
      <c r="K20" s="19" t="n">
        <f aca="false">K17*'2. Hypothèses'!$C$31</f>
        <v>1108805.87895821</v>
      </c>
      <c r="L20" s="19" t="n">
        <f aca="false">L17*'2. Hypothèses'!$C$31</f>
        <v>1185497.67319467</v>
      </c>
      <c r="M20" s="19" t="n">
        <f aca="false">M17*'2. Hypothèses'!$C$31</f>
        <v>1259505.25463286</v>
      </c>
      <c r="N20" s="20" t="n">
        <f aca="false">SUM(B20:M20)</f>
        <v>9587926.55083694</v>
      </c>
      <c r="O20" s="19" t="n">
        <f aca="false">O17*'2. Hypothèses'!$D$31*12</f>
        <v>96707917.3030798</v>
      </c>
      <c r="P20" s="19" t="n">
        <f aca="false">P17*'2. Hypothèses'!$E$31*12</f>
        <v>338047103.856442</v>
      </c>
      <c r="Q20" s="20" t="n">
        <f aca="false">N20+O20+P20</f>
        <v>444342947.710359</v>
      </c>
    </row>
    <row r="21" customFormat="false" ht="15" hidden="false" customHeight="false" outlineLevel="0" collapsed="false">
      <c r="A21" s="6" t="s">
        <v>213</v>
      </c>
      <c r="B21" s="19" t="n">
        <f aca="false">B17*'2. Hypothèses'!$C$32*'2. Hypothèses'!$C$33</f>
        <v>53856000</v>
      </c>
      <c r="C21" s="19" t="n">
        <f aca="false">C17*'2. Hypothèses'!$C$32*'2. Hypothèses'!$C$33</f>
        <v>74147040</v>
      </c>
      <c r="D21" s="19" t="n">
        <f aca="false">D17*'2. Hypothèses'!$C$32*'2. Hypothèses'!$C$33</f>
        <v>93727893.6</v>
      </c>
      <c r="E21" s="19" t="n">
        <f aca="false">E17*'2. Hypothèses'!$C$32*'2. Hypothèses'!$C$33</f>
        <v>112623417.324</v>
      </c>
      <c r="F21" s="19" t="n">
        <f aca="false">F17*'2. Hypothèses'!$C$32*'2. Hypothèses'!$C$33</f>
        <v>130857597.71766</v>
      </c>
      <c r="G21" s="19" t="n">
        <f aca="false">G17*'2. Hypothèses'!$C$32*'2. Hypothèses'!$C$33</f>
        <v>148453581.797542</v>
      </c>
      <c r="H21" s="19" t="n">
        <f aca="false">H17*'2. Hypothèses'!$C$32*'2. Hypothèses'!$C$33</f>
        <v>165433706.434628</v>
      </c>
      <c r="I21" s="19" t="n">
        <f aca="false">I17*'2. Hypothèses'!$C$32*'2. Hypothèses'!$C$33</f>
        <v>181819526.709416</v>
      </c>
      <c r="J21" s="19" t="n">
        <f aca="false">J17*'2. Hypothèses'!$C$32*'2. Hypothèses'!$C$33</f>
        <v>197631843.274586</v>
      </c>
      <c r="K21" s="19" t="n">
        <f aca="false">K17*'2. Hypothèses'!$C$32*'2. Hypothèses'!$C$33</f>
        <v>212890728.759976</v>
      </c>
      <c r="L21" s="19" t="n">
        <f aca="false">L17*'2. Hypothèses'!$C$32*'2. Hypothèses'!$C$33</f>
        <v>227615553.253377</v>
      </c>
      <c r="M21" s="19" t="n">
        <f aca="false">M17*'2. Hypothèses'!$C$32*'2. Hypothèses'!$C$33</f>
        <v>241825008.889509</v>
      </c>
      <c r="N21" s="20" t="n">
        <f aca="false">SUM(B21:M21)</f>
        <v>1840881897.76069</v>
      </c>
      <c r="O21" s="19" t="n">
        <f aca="false">O17*'2. Hypothèses'!$D$32*'2. Hypothèses'!$D$33*12</f>
        <v>32493860213.8348</v>
      </c>
      <c r="P21" s="19" t="n">
        <f aca="false">P17*'2. Hypothèses'!$E$32*'2. Hypothèses'!$E$33*12</f>
        <v>173080117174.498</v>
      </c>
      <c r="Q21" s="20" t="n">
        <f aca="false">N21+O21+P21</f>
        <v>207414859286.094</v>
      </c>
    </row>
    <row r="22" customFormat="false" ht="15" hidden="false" customHeight="false" outlineLevel="0" collapsed="false">
      <c r="A22" s="6" t="s">
        <v>214</v>
      </c>
      <c r="B22" s="19" t="n">
        <f aca="false">B21*'2. Hypothèses'!$C$34</f>
        <v>646272</v>
      </c>
      <c r="C22" s="19" t="n">
        <f aca="false">C21*'2. Hypothèses'!$C$34</f>
        <v>889764.48</v>
      </c>
      <c r="D22" s="19" t="n">
        <f aca="false">D21*'2. Hypothèses'!$C$34</f>
        <v>1124734.7232</v>
      </c>
      <c r="E22" s="19" t="n">
        <f aca="false">E21*'2. Hypothèses'!$C$34</f>
        <v>1351481.007888</v>
      </c>
      <c r="F22" s="19" t="n">
        <f aca="false">F21*'2. Hypothèses'!$C$34</f>
        <v>1570291.17261192</v>
      </c>
      <c r="G22" s="19" t="n">
        <f aca="false">G21*'2. Hypothèses'!$C$34</f>
        <v>1781442.9815705</v>
      </c>
      <c r="H22" s="19" t="n">
        <f aca="false">H21*'2. Hypothèses'!$C$34</f>
        <v>1985204.47721554</v>
      </c>
      <c r="I22" s="19" t="n">
        <f aca="false">I21*'2. Hypothèses'!$C$34</f>
        <v>2181834.32051299</v>
      </c>
      <c r="J22" s="19" t="n">
        <f aca="false">J21*'2. Hypothèses'!$C$34</f>
        <v>2371582.11929504</v>
      </c>
      <c r="K22" s="19" t="n">
        <f aca="false">K21*'2. Hypothèses'!$C$34</f>
        <v>2554688.74511971</v>
      </c>
      <c r="L22" s="19" t="n">
        <f aca="false">L21*'2. Hypothèses'!$C$34</f>
        <v>2731386.63904052</v>
      </c>
      <c r="M22" s="19" t="n">
        <f aca="false">M21*'2. Hypothèses'!$C$34</f>
        <v>2901900.1066741</v>
      </c>
      <c r="N22" s="20" t="n">
        <f aca="false">SUM(B22:M22)</f>
        <v>22090582.7731283</v>
      </c>
      <c r="O22" s="19" t="n">
        <f aca="false">O21*'2. Hypothèses'!$D$34</f>
        <v>389926322.566018</v>
      </c>
      <c r="P22" s="19" t="n">
        <f aca="false">P21*'2. Hypothèses'!$E$34</f>
        <v>2076961406.09398</v>
      </c>
      <c r="Q22" s="20" t="n">
        <f aca="false">N22+O22+P22</f>
        <v>2488978311.43313</v>
      </c>
    </row>
    <row r="23" customFormat="false" ht="15" hidden="false" customHeight="false" outlineLevel="0" collapsed="false">
      <c r="A23" s="21" t="s">
        <v>215</v>
      </c>
      <c r="B23" s="22" t="n">
        <f aca="false">B19+B20+B22</f>
        <v>2329272</v>
      </c>
      <c r="C23" s="22" t="n">
        <f aca="false">C19+C20+C22</f>
        <v>1804359.48</v>
      </c>
      <c r="D23" s="22" t="n">
        <f aca="false">D19+D20+D22</f>
        <v>2122818.8982</v>
      </c>
      <c r="E23" s="22" t="n">
        <f aca="false">E19+E20+E22</f>
        <v>2430132.236763</v>
      </c>
      <c r="F23" s="22" t="n">
        <f aca="false">F19+F20+F22</f>
        <v>2726689.6084763</v>
      </c>
      <c r="G23" s="22" t="n">
        <f aca="false">G19+G20+G22</f>
        <v>3012867.47217962</v>
      </c>
      <c r="H23" s="22" t="n">
        <f aca="false">H19+H20+H22</f>
        <v>3289029.11065334</v>
      </c>
      <c r="I23" s="22" t="n">
        <f aca="false">I19+I20+I22</f>
        <v>3555525.09178047</v>
      </c>
      <c r="J23" s="22" t="n">
        <f aca="false">J19+J20+J22</f>
        <v>3812693.71356815</v>
      </c>
      <c r="K23" s="22" t="n">
        <f aca="false">K19+K20+K22</f>
        <v>4060861.43359327</v>
      </c>
      <c r="L23" s="22" t="n">
        <f aca="false">L19+L20+L22</f>
        <v>4300343.28341751</v>
      </c>
      <c r="M23" s="22" t="n">
        <f aca="false">M19+M20+M22</f>
        <v>4531443.26849789</v>
      </c>
      <c r="N23" s="22" t="n">
        <f aca="false">N19+N20+N22</f>
        <v>37976035.5971295</v>
      </c>
      <c r="O23" s="22" t="n">
        <f aca="false">O19+O20+O22</f>
        <v>520631679.138883</v>
      </c>
      <c r="P23" s="22" t="n">
        <f aca="false">P19+P20+P22</f>
        <v>2495454905.46821</v>
      </c>
      <c r="Q23" s="22" t="n">
        <f aca="false">Q19+Q20+Q22</f>
        <v>3054062620.20422</v>
      </c>
    </row>
    <row r="25" customFormat="false" ht="19.5" hidden="false" customHeight="true" outlineLevel="0" collapsed="false">
      <c r="A25" s="11" t="s">
        <v>216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5" hidden="false" customHeight="false" outlineLevel="0" collapsed="false">
      <c r="A26" s="6" t="s">
        <v>217</v>
      </c>
      <c r="B26" s="19" t="n">
        <f aca="false">B7*'2. Hypothèses'!$C$39*'2. Hypothèses'!$C$40</f>
        <v>94668750</v>
      </c>
      <c r="C26" s="19" t="n">
        <f aca="false">C7*'2. Hypothèses'!$C$39*'2. Hypothèses'!$C$40</f>
        <v>130336593.75</v>
      </c>
      <c r="D26" s="19" t="n">
        <f aca="false">D7*'2. Hypothèses'!$C$39*'2. Hypothèses'!$C$40</f>
        <v>164756062.96875</v>
      </c>
      <c r="E26" s="19" t="n">
        <f aca="false">E7*'2. Hypothèses'!$C$39*'2. Hypothèses'!$C$40</f>
        <v>197970850.764844</v>
      </c>
      <c r="F26" s="19" t="n">
        <f aca="false">F7*'2. Hypothèses'!$C$39*'2. Hypothèses'!$C$40</f>
        <v>230023120.988074</v>
      </c>
      <c r="G26" s="19" t="n">
        <f aca="false">G7*'2. Hypothèses'!$C$39*'2. Hypothèses'!$C$40</f>
        <v>260953561.753492</v>
      </c>
      <c r="H26" s="19" t="n">
        <f aca="false">H7*'2. Hypothèses'!$C$39*'2. Hypothèses'!$C$40</f>
        <v>290801437.092119</v>
      </c>
      <c r="I26" s="19" t="n">
        <f aca="false">I7*'2. Hypothèses'!$C$39*'2. Hypothèses'!$C$40</f>
        <v>319604636.793895</v>
      </c>
      <c r="J26" s="19" t="n">
        <f aca="false">J7*'2. Hypothèses'!$C$39*'2. Hypothèses'!$C$40</f>
        <v>347399724.506109</v>
      </c>
      <c r="K26" s="19" t="n">
        <f aca="false">K7*'2. Hypothèses'!$C$39*'2. Hypothèses'!$C$40</f>
        <v>374221984.148395</v>
      </c>
      <c r="L26" s="19" t="n">
        <f aca="false">L7*'2. Hypothèses'!$C$39*'2. Hypothèses'!$C$40</f>
        <v>400105464.703201</v>
      </c>
      <c r="M26" s="19" t="n">
        <f aca="false">M7*'2. Hypothèses'!$C$39*'2. Hypothèses'!$C$40</f>
        <v>425083023.438589</v>
      </c>
      <c r="N26" s="20" t="n">
        <f aca="false">SUM(B26:M26)</f>
        <v>3235925210.90747</v>
      </c>
      <c r="O26" s="19" t="n">
        <f aca="false">O7*'2. Hypothèses'!$D$39*'2. Hypothèses'!$D$40*12</f>
        <v>26374886537.2036</v>
      </c>
      <c r="P26" s="19" t="n">
        <f aca="false">P7*'2. Hypothèses'!$E$39*'2. Hypothèses'!$E$40*12</f>
        <v>84994700398.1912</v>
      </c>
      <c r="Q26" s="20" t="n">
        <f aca="false">N26+O26+P26</f>
        <v>114605512146.302</v>
      </c>
    </row>
    <row r="27" customFormat="false" ht="15" hidden="false" customHeight="false" outlineLevel="0" collapsed="false">
      <c r="A27" s="6" t="s">
        <v>218</v>
      </c>
      <c r="B27" s="19" t="n">
        <f aca="false">B26*'2. Hypothèses'!$C$41</f>
        <v>1893375</v>
      </c>
      <c r="C27" s="19" t="n">
        <f aca="false">C26*'2. Hypothèses'!$C$41</f>
        <v>2606731.875</v>
      </c>
      <c r="D27" s="19" t="n">
        <f aca="false">D26*'2. Hypothèses'!$C$41</f>
        <v>3295121.259375</v>
      </c>
      <c r="E27" s="19" t="n">
        <f aca="false">E26*'2. Hypothèses'!$C$41</f>
        <v>3959417.01529688</v>
      </c>
      <c r="F27" s="19" t="n">
        <f aca="false">F26*'2. Hypothèses'!$C$41</f>
        <v>4600462.41976149</v>
      </c>
      <c r="G27" s="19" t="n">
        <f aca="false">G26*'2. Hypothèses'!$C$41</f>
        <v>5219071.23506983</v>
      </c>
      <c r="H27" s="19" t="n">
        <f aca="false">H26*'2. Hypothèses'!$C$41</f>
        <v>5816028.74184239</v>
      </c>
      <c r="I27" s="19" t="n">
        <f aca="false">I26*'2. Hypothèses'!$C$41</f>
        <v>6392092.73587791</v>
      </c>
      <c r="J27" s="19" t="n">
        <f aca="false">J26*'2. Hypothèses'!$C$41</f>
        <v>6947994.49012218</v>
      </c>
      <c r="K27" s="19" t="n">
        <f aca="false">K26*'2. Hypothèses'!$C$41</f>
        <v>7484439.6829679</v>
      </c>
      <c r="L27" s="19" t="n">
        <f aca="false">L26*'2. Hypothèses'!$C$41</f>
        <v>8002109.29406403</v>
      </c>
      <c r="M27" s="19" t="n">
        <f aca="false">M26*'2. Hypothèses'!$C$41</f>
        <v>8501660.46877178</v>
      </c>
      <c r="N27" s="20" t="n">
        <f aca="false">SUM(B27:M27)</f>
        <v>64718504.2181494</v>
      </c>
      <c r="O27" s="19" t="n">
        <f aca="false">O26*'2. Hypothèses'!$D$41</f>
        <v>527497730.744071</v>
      </c>
      <c r="P27" s="19" t="n">
        <f aca="false">P26*'2. Hypothèses'!$E$41</f>
        <v>1614899307.56563</v>
      </c>
      <c r="Q27" s="20" t="n">
        <f aca="false">N27+O27+P27</f>
        <v>2207115542.52785</v>
      </c>
    </row>
    <row r="28" customFormat="false" ht="15" hidden="false" customHeight="false" outlineLevel="0" collapsed="false">
      <c r="A28" s="6" t="s">
        <v>219</v>
      </c>
      <c r="B28" s="19" t="n">
        <f aca="false">B26*'2. Hypothèses'!$C$42</f>
        <v>946687.5</v>
      </c>
      <c r="C28" s="19" t="n">
        <f aca="false">C26*'2. Hypothèses'!$C$42</f>
        <v>1303365.9375</v>
      </c>
      <c r="D28" s="19" t="n">
        <f aca="false">D26*'2. Hypothèses'!$C$42</f>
        <v>1647560.6296875</v>
      </c>
      <c r="E28" s="19" t="n">
        <f aca="false">E26*'2. Hypothèses'!$C$42</f>
        <v>1979708.50764844</v>
      </c>
      <c r="F28" s="19" t="n">
        <f aca="false">F26*'2. Hypothèses'!$C$42</f>
        <v>2300231.20988074</v>
      </c>
      <c r="G28" s="19" t="n">
        <f aca="false">G26*'2. Hypothèses'!$C$42</f>
        <v>2609535.61753492</v>
      </c>
      <c r="H28" s="19" t="n">
        <f aca="false">H26*'2. Hypothèses'!$C$42</f>
        <v>2908014.37092119</v>
      </c>
      <c r="I28" s="19" t="n">
        <f aca="false">I26*'2. Hypothèses'!$C$42</f>
        <v>3196046.36793895</v>
      </c>
      <c r="J28" s="19" t="n">
        <f aca="false">J26*'2. Hypothèses'!$C$42</f>
        <v>3473997.24506109</v>
      </c>
      <c r="K28" s="19" t="n">
        <f aca="false">K26*'2. Hypothèses'!$C$42</f>
        <v>3742219.84148395</v>
      </c>
      <c r="L28" s="19" t="n">
        <f aca="false">L26*'2. Hypothèses'!$C$42</f>
        <v>4001054.64703201</v>
      </c>
      <c r="M28" s="19" t="n">
        <f aca="false">M26*'2. Hypothèses'!$C$42</f>
        <v>4250830.23438589</v>
      </c>
      <c r="N28" s="20" t="n">
        <f aca="false">SUM(B28:M28)</f>
        <v>32359252.1090747</v>
      </c>
      <c r="O28" s="19" t="n">
        <f aca="false">O26*'2. Hypothèses'!$D$42</f>
        <v>290123751.909239</v>
      </c>
      <c r="P28" s="19" t="n">
        <f aca="false">P26*'2. Hypothèses'!$E$42</f>
        <v>1019936404.77829</v>
      </c>
      <c r="Q28" s="20" t="n">
        <f aca="false">N28+O28+P28</f>
        <v>1342419408.79661</v>
      </c>
    </row>
    <row r="29" customFormat="false" ht="15" hidden="false" customHeight="false" outlineLevel="0" collapsed="false">
      <c r="A29" s="21" t="s">
        <v>220</v>
      </c>
      <c r="B29" s="22" t="n">
        <f aca="false">B27+B28</f>
        <v>2840062.5</v>
      </c>
      <c r="C29" s="22" t="n">
        <f aca="false">C27+C28</f>
        <v>3910097.8125</v>
      </c>
      <c r="D29" s="22" t="n">
        <f aca="false">D27+D28</f>
        <v>4942681.8890625</v>
      </c>
      <c r="E29" s="22" t="n">
        <f aca="false">E27+E28</f>
        <v>5939125.52294531</v>
      </c>
      <c r="F29" s="22" t="n">
        <f aca="false">F27+F28</f>
        <v>6900693.62964223</v>
      </c>
      <c r="G29" s="22" t="n">
        <f aca="false">G27+G28</f>
        <v>7828606.85260475</v>
      </c>
      <c r="H29" s="22" t="n">
        <f aca="false">H27+H28</f>
        <v>8724043.11276358</v>
      </c>
      <c r="I29" s="22" t="n">
        <f aca="false">I27+I28</f>
        <v>9588139.10381686</v>
      </c>
      <c r="J29" s="22" t="n">
        <f aca="false">J27+J28</f>
        <v>10421991.7351833</v>
      </c>
      <c r="K29" s="22" t="n">
        <f aca="false">K27+K28</f>
        <v>11226659.5244519</v>
      </c>
      <c r="L29" s="22" t="n">
        <f aca="false">L27+L28</f>
        <v>12003163.941096</v>
      </c>
      <c r="M29" s="22" t="n">
        <f aca="false">M27+M28</f>
        <v>12752490.7031577</v>
      </c>
      <c r="N29" s="22" t="n">
        <f aca="false">N27+N28</f>
        <v>97077756.3272241</v>
      </c>
      <c r="O29" s="22" t="n">
        <f aca="false">O27+O28</f>
        <v>817621482.653311</v>
      </c>
      <c r="P29" s="22" t="n">
        <f aca="false">P27+P28</f>
        <v>2634835712.34393</v>
      </c>
      <c r="Q29" s="22" t="n">
        <f aca="false">Q27+Q28</f>
        <v>3549534951.32446</v>
      </c>
    </row>
    <row r="31" customFormat="false" ht="21.75" hidden="false" customHeight="true" outlineLevel="0" collapsed="false">
      <c r="A31" s="23" t="s">
        <v>221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customFormat="false" ht="15" hidden="false" customHeight="false" outlineLevel="0" collapsed="false">
      <c r="A32" s="21" t="s">
        <v>222</v>
      </c>
      <c r="B32" s="22" t="n">
        <f aca="false">B14+B23+B29</f>
        <v>16606722</v>
      </c>
      <c r="C32" s="22" t="n">
        <f aca="false">C14+C23+C29</f>
        <v>21461048.73</v>
      </c>
      <c r="D32" s="22" t="n">
        <f aca="false">D14+D23+D29</f>
        <v>26970474.02445</v>
      </c>
      <c r="E32" s="22" t="n">
        <f aca="false">E14+E23+E29</f>
        <v>32287069.4335943</v>
      </c>
      <c r="F32" s="22" t="n">
        <f aca="false">F14+F23+F29</f>
        <v>37417584.0034185</v>
      </c>
      <c r="G32" s="22" t="n">
        <f aca="false">G14+G23+G29</f>
        <v>42368530.5632988</v>
      </c>
      <c r="H32" s="22" t="n">
        <f aca="false">H14+H23+H29</f>
        <v>47146193.9935834</v>
      </c>
      <c r="I32" s="22" t="n">
        <f aca="false">I14+I23+I29</f>
        <v>51756639.2038079</v>
      </c>
      <c r="J32" s="22" t="n">
        <f aca="false">J14+J23+J29</f>
        <v>56205718.8316747</v>
      </c>
      <c r="K32" s="22" t="n">
        <f aca="false">K14+K23+K29</f>
        <v>60499080.672566</v>
      </c>
      <c r="L32" s="22" t="n">
        <f aca="false">L14+L23+L29</f>
        <v>64642174.8490262</v>
      </c>
      <c r="M32" s="22" t="n">
        <f aca="false">M14+M23+M29</f>
        <v>68640260.7293103</v>
      </c>
      <c r="N32" s="22" t="n">
        <f aca="false">N14+N23+N29</f>
        <v>526001497.03473</v>
      </c>
      <c r="O32" s="22" t="n">
        <f aca="false">O14+O23+O29</f>
        <v>4582364205.86823</v>
      </c>
      <c r="P32" s="22" t="n">
        <f aca="false">P14+P23+P29</f>
        <v>14321308447.2347</v>
      </c>
      <c r="Q32" s="22" t="n">
        <f aca="false">Q14+Q23+Q29</f>
        <v>19429674150.1377</v>
      </c>
    </row>
    <row r="33" customFormat="false" ht="15" hidden="false" customHeight="false" outlineLevel="0" collapsed="false">
      <c r="A33" s="12" t="s">
        <v>223</v>
      </c>
      <c r="B33" s="24" t="n">
        <f aca="false">IFERROR(B14/B32,0)</f>
        <v>0.688720356732653</v>
      </c>
      <c r="C33" s="24" t="n">
        <f aca="false">IFERROR(C14/C32,0)</f>
        <v>0.733728888816516</v>
      </c>
      <c r="D33" s="24" t="n">
        <f aca="false">IFERROR(D14/D32,0)</f>
        <v>0.738028305292028</v>
      </c>
      <c r="E33" s="24" t="n">
        <f aca="false">IFERROR(E14/E32,0)</f>
        <v>0.740786082276014</v>
      </c>
      <c r="F33" s="24" t="n">
        <f aca="false">IFERROR(F14/F32,0)</f>
        <v>0.742704306156192</v>
      </c>
      <c r="G33" s="24" t="n">
        <f aca="false">IFERROR(G14/G32,0)</f>
        <v>0.744114931987383</v>
      </c>
      <c r="H33" s="24" t="n">
        <f aca="false">IFERROR(H14/H32,0)</f>
        <v>0.74519529137279</v>
      </c>
      <c r="I33" s="24" t="n">
        <f aca="false">IFERROR(I14/I32,0)</f>
        <v>0.746048731181326</v>
      </c>
      <c r="J33" s="24" t="n">
        <f aca="false">IFERROR(J14/J32,0)</f>
        <v>0.746739553471746</v>
      </c>
      <c r="K33" s="24" t="n">
        <f aca="false">IFERROR(K14/K32,0)</f>
        <v>0.747309863421158</v>
      </c>
      <c r="L33" s="24" t="n">
        <f aca="false">IFERROR(L14/L32,0)</f>
        <v>0.747788386411953</v>
      </c>
      <c r="M33" s="24" t="n">
        <f aca="false">IFERROR(M14/M32,0)</f>
        <v>0.748195391625675</v>
      </c>
      <c r="N33" s="24" t="n">
        <f aca="false">IFERROR(N14/N32,0)</f>
        <v>0.743244472333818</v>
      </c>
      <c r="O33" s="24" t="n">
        <f aca="false">IFERROR(O14/O32,0)</f>
        <v>0.707955740384317</v>
      </c>
      <c r="P33" s="24" t="n">
        <f aca="false">IFERROR(P14/P32,0)</f>
        <v>0.641772213990494</v>
      </c>
      <c r="Q33" s="24" t="n">
        <f aca="false">IFERROR(Q14/Q32,0)</f>
        <v>0.660128238873121</v>
      </c>
    </row>
    <row r="34" customFormat="false" ht="15" hidden="false" customHeight="false" outlineLevel="0" collapsed="false">
      <c r="A34" s="12" t="s">
        <v>224</v>
      </c>
      <c r="B34" s="24" t="n">
        <f aca="false">IFERROR(B23/B32,0)</f>
        <v>0.140260793189649</v>
      </c>
      <c r="C34" s="24" t="n">
        <f aca="false">IFERROR(C23/C32,0)</f>
        <v>0.0840760161677337</v>
      </c>
      <c r="D34" s="24" t="n">
        <f aca="false">IFERROR(D23/D32,0)</f>
        <v>0.0787089947427533</v>
      </c>
      <c r="E34" s="24" t="n">
        <f aca="false">IFERROR(E23/E32,0)</f>
        <v>0.0752664233513396</v>
      </c>
      <c r="F34" s="24" t="n">
        <f aca="false">IFERROR(F23/F32,0)</f>
        <v>0.0728718777841772</v>
      </c>
      <c r="G34" s="24" t="n">
        <f aca="false">IFERROR(G23/G32,0)</f>
        <v>0.0711109739262348</v>
      </c>
      <c r="H34" s="24" t="n">
        <f aca="false">IFERROR(H23/H32,0)</f>
        <v>0.0697623462691597</v>
      </c>
      <c r="I34" s="24" t="n">
        <f aca="false">IFERROR(I23/I32,0)</f>
        <v>0.0686969854781235</v>
      </c>
      <c r="J34" s="24" t="n">
        <f aca="false">IFERROR(J23/J32,0)</f>
        <v>0.0678346223982375</v>
      </c>
      <c r="K34" s="24" t="n">
        <f aca="false">IFERROR(K23/K32,0)</f>
        <v>0.0671226965509033</v>
      </c>
      <c r="L34" s="24" t="n">
        <f aca="false">IFERROR(L23/L32,0)</f>
        <v>0.0665253496414854</v>
      </c>
      <c r="M34" s="24" t="n">
        <f aca="false">IFERROR(M23/M32,0)</f>
        <v>0.0660172793685631</v>
      </c>
      <c r="N34" s="24" t="n">
        <f aca="false">IFERROR(N23/N32,0)</f>
        <v>0.0721975808266989</v>
      </c>
      <c r="O34" s="24" t="n">
        <f aca="false">IFERROR(O23/O32,0)</f>
        <v>0.113616390087928</v>
      </c>
      <c r="P34" s="24" t="n">
        <f aca="false">IFERROR(P23/P32,0)</f>
        <v>0.174247689354813</v>
      </c>
      <c r="Q34" s="24" t="n">
        <f aca="false">IFERROR(Q23/Q32,0)</f>
        <v>0.157185478078776</v>
      </c>
    </row>
    <row r="35" customFormat="false" ht="15" hidden="false" customHeight="false" outlineLevel="0" collapsed="false">
      <c r="A35" s="12" t="s">
        <v>225</v>
      </c>
      <c r="B35" s="24" t="n">
        <f aca="false">IFERROR(B29/B32,0)</f>
        <v>0.171018850077697</v>
      </c>
      <c r="C35" s="24" t="n">
        <f aca="false">IFERROR(C29/C32,0)</f>
        <v>0.18219509501575</v>
      </c>
      <c r="D35" s="24" t="n">
        <f aca="false">IFERROR(D29/D32,0)</f>
        <v>0.183262699965219</v>
      </c>
      <c r="E35" s="24" t="n">
        <f aca="false">IFERROR(E29/E32,0)</f>
        <v>0.183947494372646</v>
      </c>
      <c r="F35" s="24" t="n">
        <f aca="false">IFERROR(F29/F32,0)</f>
        <v>0.184423816059631</v>
      </c>
      <c r="G35" s="24" t="n">
        <f aca="false">IFERROR(G29/G32,0)</f>
        <v>0.184774094086383</v>
      </c>
      <c r="H35" s="24" t="n">
        <f aca="false">IFERROR(H29/H32,0)</f>
        <v>0.18504236235805</v>
      </c>
      <c r="I35" s="24" t="n">
        <f aca="false">IFERROR(I29/I32,0)</f>
        <v>0.18525428334055</v>
      </c>
      <c r="J35" s="24" t="n">
        <f aca="false">IFERROR(J29/J32,0)</f>
        <v>0.185425824130017</v>
      </c>
      <c r="K35" s="24" t="n">
        <f aca="false">IFERROR(K29/K32,0)</f>
        <v>0.185567440027939</v>
      </c>
      <c r="L35" s="24" t="n">
        <f aca="false">IFERROR(L29/L32,0)</f>
        <v>0.185686263946561</v>
      </c>
      <c r="M35" s="24" t="n">
        <f aca="false">IFERROR(M29/M32,0)</f>
        <v>0.185787329005762</v>
      </c>
      <c r="N35" s="24" t="n">
        <f aca="false">IFERROR(N29/N32,0)</f>
        <v>0.184557946839483</v>
      </c>
      <c r="O35" s="24" t="n">
        <f aca="false">IFERROR(O29/O32,0)</f>
        <v>0.178427869527755</v>
      </c>
      <c r="P35" s="24" t="n">
        <f aca="false">IFERROR(P29/P32,0)</f>
        <v>0.183980096654694</v>
      </c>
      <c r="Q35" s="24" t="n">
        <f aca="false">IFERROR(Q29/Q32,0)</f>
        <v>0.182686283048103</v>
      </c>
    </row>
  </sheetData>
  <mergeCells count="7">
    <mergeCell ref="A1:Q1"/>
    <mergeCell ref="B2:N2"/>
    <mergeCell ref="A5:N5"/>
    <mergeCell ref="A9:N9"/>
    <mergeCell ref="A16:N16"/>
    <mergeCell ref="A25:N25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7" min="2" style="0" width="14"/>
  </cols>
  <sheetData>
    <row r="1" customFormat="false" ht="31.5" hidden="false" customHeight="true" outlineLevel="0" collapsed="false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B2" s="16" t="s">
        <v>183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27.75" hidden="false" customHeight="true" outlineLevel="0" collapsed="false">
      <c r="A3" s="4" t="s">
        <v>184</v>
      </c>
      <c r="B3" s="4" t="s">
        <v>185</v>
      </c>
      <c r="C3" s="4" t="s">
        <v>186</v>
      </c>
      <c r="D3" s="4" t="s">
        <v>187</v>
      </c>
      <c r="E3" s="4" t="s">
        <v>188</v>
      </c>
      <c r="F3" s="4" t="s">
        <v>189</v>
      </c>
      <c r="G3" s="4" t="s">
        <v>190</v>
      </c>
      <c r="H3" s="4" t="s">
        <v>191</v>
      </c>
      <c r="I3" s="4" t="s">
        <v>192</v>
      </c>
      <c r="J3" s="4" t="s">
        <v>193</v>
      </c>
      <c r="K3" s="4" t="s">
        <v>194</v>
      </c>
      <c r="L3" s="4" t="s">
        <v>195</v>
      </c>
      <c r="M3" s="4" t="s">
        <v>196</v>
      </c>
      <c r="N3" s="4" t="s">
        <v>197</v>
      </c>
      <c r="O3" s="4" t="s">
        <v>44</v>
      </c>
      <c r="P3" s="4" t="s">
        <v>45</v>
      </c>
      <c r="Q3" s="4" t="s">
        <v>198</v>
      </c>
    </row>
    <row r="4" customFormat="false" ht="19.5" hidden="false" customHeight="true" outlineLevel="0" collapsed="false">
      <c r="A4" s="11" t="s">
        <v>227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15" hidden="false" customHeight="false" outlineLevel="0" collapsed="false">
      <c r="A5" s="6" t="s">
        <v>228</v>
      </c>
      <c r="B5" s="19" t="n">
        <f aca="false">('3. Revenus'!B10+'3. Revenus'!B12)*'2. Hypothèses'!$C$25</f>
        <v>2814350</v>
      </c>
      <c r="C5" s="19" t="n">
        <f aca="false">('3. Revenus'!C10+'3. Revenus'!C12)*'2. Hypothèses'!$C$25</f>
        <v>3874697.75</v>
      </c>
      <c r="D5" s="19" t="n">
        <f aca="false">('3. Revenus'!D10+'3. Revenus'!D12)*'2. Hypothèses'!$C$25</f>
        <v>4897933.32875</v>
      </c>
      <c r="E5" s="19" t="n">
        <f aca="false">('3. Revenus'!E10+'3. Revenus'!E12)*'2. Hypothèses'!$C$25</f>
        <v>5885355.66224375</v>
      </c>
      <c r="F5" s="19" t="n">
        <f aca="false">('3. Revenus'!F10+'3. Revenus'!F12)*'2. Hypothèses'!$C$25</f>
        <v>6838218.21406522</v>
      </c>
      <c r="G5" s="19" t="n">
        <f aca="false">('3. Revenus'!G10+'3. Revenus'!G12)*'2. Hypothèses'!$C$25</f>
        <v>7757730.57657294</v>
      </c>
      <c r="H5" s="19" t="n">
        <f aca="false">('3. Revenus'!H10+'3. Revenus'!H12)*'2. Hypothèses'!$C$25</f>
        <v>8645060.00639288</v>
      </c>
      <c r="I5" s="19" t="n">
        <f aca="false">('3. Revenus'!I10+'3. Revenus'!I12)*'2. Hypothèses'!$C$25</f>
        <v>9501332.90616913</v>
      </c>
      <c r="J5" s="19" t="n">
        <f aca="false">('3. Revenus'!J10+'3. Revenus'!J12)*'2. Hypothèses'!$C$25</f>
        <v>10327636.2544532</v>
      </c>
      <c r="K5" s="19" t="n">
        <f aca="false">('3. Revenus'!K10+'3. Revenus'!K12)*'2. Hypothèses'!$C$25</f>
        <v>11125018.9855474</v>
      </c>
      <c r="L5" s="19" t="n">
        <f aca="false">('3. Revenus'!L10+'3. Revenus'!L12)*'2. Hypothèses'!$C$25</f>
        <v>11894493.3210532</v>
      </c>
      <c r="M5" s="19" t="n">
        <f aca="false">('3. Revenus'!M10+'3. Revenus'!M12)*'2. Hypothèses'!$C$25</f>
        <v>12637036.0548163</v>
      </c>
      <c r="N5" s="20" t="n">
        <f aca="false">SUM(B5:M5)</f>
        <v>96198863.060064</v>
      </c>
      <c r="O5" s="19" t="n">
        <f aca="false">('3. Revenus'!O10+'3. Revenus'!O12)*'2. Hypothèses'!$D$25</f>
        <v>695417841.697601</v>
      </c>
      <c r="P5" s="19" t="n">
        <f aca="false">('3. Revenus'!P10+'3. Revenus'!P12)*'2. Hypothèses'!$E$25</f>
        <v>1790683801.57098</v>
      </c>
      <c r="Q5" s="20" t="n">
        <f aca="false">N5+O5+P5</f>
        <v>2582300506.32865</v>
      </c>
    </row>
    <row r="6" customFormat="false" ht="15" hidden="false" customHeight="false" outlineLevel="0" collapsed="false">
      <c r="A6" s="6" t="s">
        <v>229</v>
      </c>
      <c r="B6" s="19" t="n">
        <f aca="false">'3. Revenus'!B14*'2. Hypothèses'!$C$26</f>
        <v>4574955</v>
      </c>
      <c r="C6" s="19" t="n">
        <f aca="false">'3. Revenus'!C14*'2. Hypothèses'!$C$26</f>
        <v>6298636.575</v>
      </c>
      <c r="D6" s="19" t="n">
        <f aca="false">'3. Revenus'!D14*'2. Hypothèses'!$C$26</f>
        <v>7961989.294875</v>
      </c>
      <c r="E6" s="19" t="n">
        <f aca="false">'3. Revenus'!E14*'2. Hypothèses'!$C$26</f>
        <v>9567124.66955438</v>
      </c>
      <c r="F6" s="19" t="n">
        <f aca="false">'3. Revenus'!F14*'2. Hypothèses'!$C$26</f>
        <v>11116080.30612</v>
      </c>
      <c r="G6" s="19" t="n">
        <f aca="false">'3. Revenus'!G14*'2. Hypothèses'!$C$26</f>
        <v>12610822.4954058</v>
      </c>
      <c r="H6" s="19" t="n">
        <f aca="false">'3. Revenus'!H14*'2. Hypothèses'!$C$26</f>
        <v>14053248.7080666</v>
      </c>
      <c r="I6" s="19" t="n">
        <f aca="false">'3. Revenus'!I14*'2. Hypothèses'!$C$26</f>
        <v>15445190.0032842</v>
      </c>
      <c r="J6" s="19" t="n">
        <f aca="false">'3. Revenus'!J14*'2. Hypothèses'!$C$26</f>
        <v>16788413.3531693</v>
      </c>
      <c r="K6" s="19" t="n">
        <f aca="false">'3. Revenus'!K14*'2. Hypothèses'!$C$26</f>
        <v>18084623.8858084</v>
      </c>
      <c r="L6" s="19" t="n">
        <f aca="false">'3. Revenus'!L14*'2. Hypothèses'!$C$26</f>
        <v>19335467.0498051</v>
      </c>
      <c r="M6" s="19" t="n">
        <f aca="false">'3. Revenus'!M14*'2. Hypothèses'!$C$26</f>
        <v>20542530.7030619</v>
      </c>
      <c r="N6" s="20" t="n">
        <f aca="false">SUM(B6:M6)</f>
        <v>156379082.044151</v>
      </c>
      <c r="O6" s="19" t="n">
        <f aca="false">'3. Revenus'!O14*'2. Hypothèses'!$D$26</f>
        <v>1232762196.7489</v>
      </c>
      <c r="P6" s="19" t="n">
        <f aca="false">'3. Revenus'!P14*'2. Hypothèses'!$E$26</f>
        <v>3216856240.2979</v>
      </c>
      <c r="Q6" s="20" t="n">
        <f aca="false">N6+O6+P6</f>
        <v>4605997519.09095</v>
      </c>
    </row>
    <row r="7" customFormat="false" ht="15" hidden="false" customHeight="false" outlineLevel="0" collapsed="false">
      <c r="A7" s="6" t="s">
        <v>230</v>
      </c>
      <c r="B7" s="19" t="n">
        <f aca="false">'3. Revenus'!B7*('2. Hypothèses'!$C$17+'2. Hypothèses'!$C$21+'2. Hypothèses'!$C$39)*'2. Hypothèses'!$C$27</f>
        <v>549780</v>
      </c>
      <c r="C7" s="19" t="n">
        <f aca="false">'3. Revenus'!C7*('2. Hypothèses'!$C$17+'2. Hypothèses'!$C$21+'2. Hypothèses'!$C$39)*'2. Hypothèses'!$C$27</f>
        <v>756917.7</v>
      </c>
      <c r="D7" s="19" t="n">
        <f aca="false">'3. Revenus'!D7*('2. Hypothèses'!$C$17+'2. Hypothèses'!$C$21+'2. Hypothèses'!$C$39)*'2. Hypothèses'!$C$27</f>
        <v>956805.5805</v>
      </c>
      <c r="E7" s="19" t="n">
        <f aca="false">'3. Revenus'!E7*('2. Hypothèses'!$C$17+'2. Hypothèses'!$C$21+'2. Hypothèses'!$C$39)*'2. Hypothèses'!$C$27</f>
        <v>1149697.3851825</v>
      </c>
      <c r="F7" s="19" t="n">
        <f aca="false">'3. Revenus'!F7*('2. Hypothèses'!$C$17+'2. Hypothèses'!$C$21+'2. Hypothèses'!$C$39)*'2. Hypothèses'!$C$27</f>
        <v>1335837.97670111</v>
      </c>
      <c r="G7" s="19" t="n">
        <f aca="false">'3. Revenus'!G7*('2. Hypothèses'!$C$17+'2. Hypothèses'!$C$21+'2. Hypothèses'!$C$39)*'2. Hypothèses'!$C$27</f>
        <v>1515463.64751657</v>
      </c>
      <c r="H7" s="19" t="n">
        <f aca="false">'3. Revenus'!H7*('2. Hypothèses'!$C$17+'2. Hypothèses'!$C$21+'2. Hypothèses'!$C$39)*'2. Hypothèses'!$C$27</f>
        <v>1688802.41985349</v>
      </c>
      <c r="I7" s="19" t="n">
        <f aca="false">'3. Revenus'!I7*('2. Hypothèses'!$C$17+'2. Hypothèses'!$C$21+'2. Hypothèses'!$C$39)*'2. Hypothèses'!$C$27</f>
        <v>1856074.33515862</v>
      </c>
      <c r="J7" s="19" t="n">
        <f aca="false">'3. Revenus'!J7*('2. Hypothèses'!$C$17+'2. Hypothèses'!$C$21+'2. Hypothèses'!$C$39)*'2. Hypothèses'!$C$27</f>
        <v>2017491.73342807</v>
      </c>
      <c r="K7" s="19" t="n">
        <f aca="false">'3. Revenus'!K7*('2. Hypothèses'!$C$17+'2. Hypothèses'!$C$21+'2. Hypothèses'!$C$39)*'2. Hypothèses'!$C$27</f>
        <v>2173259.52275809</v>
      </c>
      <c r="L7" s="19" t="n">
        <f aca="false">'3. Revenus'!L7*('2. Hypothèses'!$C$17+'2. Hypothèses'!$C$21+'2. Hypothèses'!$C$39)*'2. Hypothèses'!$C$27</f>
        <v>2323575.43946155</v>
      </c>
      <c r="M7" s="19" t="n">
        <f aca="false">'3. Revenus'!M7*('2. Hypothèses'!$C$17+'2. Hypothèses'!$C$21+'2. Hypothèses'!$C$39)*'2. Hypothèses'!$C$27</f>
        <v>2468630.2990804</v>
      </c>
      <c r="N7" s="20" t="n">
        <f aca="false">SUM(B7:M7)</f>
        <v>18792336.0396404</v>
      </c>
      <c r="O7" s="19" t="n">
        <f aca="false">'3. Revenus'!O7*('2. Hypothèses'!$D$17+'2. Hypothèses'!$D$21+'2. Hypothèses'!$D$39)*'2. Hypothèses'!$D$27*12</f>
        <v>125720292.494004</v>
      </c>
      <c r="P7" s="19" t="n">
        <f aca="false">'3. Revenus'!P7*('2. Hypothèses'!$E$17+'2. Hypothèses'!$E$21+'2. Hypothèses'!$E$39)*'2. Hypothèses'!$E$27*12</f>
        <v>322593521.965862</v>
      </c>
      <c r="Q7" s="20" t="n">
        <f aca="false">N7+O7+P7</f>
        <v>467106150.499506</v>
      </c>
    </row>
    <row r="9" customFormat="false" ht="19.5" hidden="false" customHeight="true" outlineLevel="0" collapsed="false">
      <c r="A9" s="11" t="s">
        <v>231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15" hidden="false" customHeight="false" outlineLevel="0" collapsed="false">
      <c r="A10" s="6" t="s">
        <v>232</v>
      </c>
      <c r="B10" s="19" t="n">
        <f aca="false">'3. Revenus'!B18*'2. Hypothèses'!$C$35</f>
        <v>841500</v>
      </c>
      <c r="C10" s="19" t="n">
        <f aca="false">'3. Revenus'!C18*'2. Hypothèses'!$C$35</f>
        <v>317047.5</v>
      </c>
      <c r="D10" s="19" t="n">
        <f aca="false">'3. Revenus'!D18*'2. Hypothèses'!$C$35</f>
        <v>305950.8375</v>
      </c>
      <c r="E10" s="19" t="n">
        <f aca="false">'3. Revenus'!E18*'2. Hypothèses'!$C$35</f>
        <v>295242.5581875</v>
      </c>
      <c r="F10" s="19" t="n">
        <f aca="false">'3. Revenus'!F18*'2. Hypothèses'!$C$35</f>
        <v>284909.068650938</v>
      </c>
      <c r="G10" s="19" t="n">
        <f aca="false">'3. Revenus'!G18*'2. Hypothèses'!$C$35</f>
        <v>274937.251248154</v>
      </c>
      <c r="H10" s="19" t="n">
        <f aca="false">'3. Revenus'!H18*'2. Hypothèses'!$C$35</f>
        <v>265314.447454469</v>
      </c>
      <c r="I10" s="19" t="n">
        <f aca="false">'3. Revenus'!I18*'2. Hypothèses'!$C$35</f>
        <v>256028.441793563</v>
      </c>
      <c r="J10" s="19" t="n">
        <f aca="false">'3. Revenus'!J18*'2. Hypothèses'!$C$35</f>
        <v>247067.446330788</v>
      </c>
      <c r="K10" s="19" t="n">
        <f aca="false">'3. Revenus'!K18*'2. Hypothèses'!$C$35</f>
        <v>238420.08570921</v>
      </c>
      <c r="L10" s="19" t="n">
        <f aca="false">'3. Revenus'!L18*'2. Hypothèses'!$C$35</f>
        <v>230075.382709388</v>
      </c>
      <c r="M10" s="19" t="n">
        <f aca="false">'3. Revenus'!M18*'2. Hypothèses'!$C$35</f>
        <v>222022.744314559</v>
      </c>
      <c r="N10" s="20" t="n">
        <f aca="false">SUM(B10:M10)</f>
        <v>3778515.76389857</v>
      </c>
      <c r="O10" s="19" t="n">
        <f aca="false">'3. Revenus'!O18*'2. Hypothèses'!$D$35</f>
        <v>19038565.9910799</v>
      </c>
      <c r="P10" s="19" t="n">
        <f aca="false">'3. Revenus'!P18*'2. Hypothèses'!$E$35</f>
        <v>52290157.0865619</v>
      </c>
      <c r="Q10" s="20" t="n">
        <f aca="false">N10+O10+P10</f>
        <v>75107238.8415404</v>
      </c>
    </row>
    <row r="11" customFormat="false" ht="15" hidden="false" customHeight="false" outlineLevel="0" collapsed="false">
      <c r="A11" s="6" t="s">
        <v>233</v>
      </c>
      <c r="B11" s="19" t="n">
        <f aca="false">'3. Revenus'!B17*'2. Hypothèses'!$C$32*'2. Hypothèses'!$C$36</f>
        <v>112200</v>
      </c>
      <c r="C11" s="19" t="n">
        <f aca="false">'3. Revenus'!C17*'2. Hypothèses'!$C$32*'2. Hypothèses'!$C$36</f>
        <v>154473</v>
      </c>
      <c r="D11" s="19" t="n">
        <f aca="false">'3. Revenus'!D17*'2. Hypothèses'!$C$32*'2. Hypothèses'!$C$36</f>
        <v>195266.445</v>
      </c>
      <c r="E11" s="19" t="n">
        <f aca="false">'3. Revenus'!E17*'2. Hypothèses'!$C$32*'2. Hypothèses'!$C$36</f>
        <v>234632.119425</v>
      </c>
      <c r="F11" s="19" t="n">
        <f aca="false">'3. Revenus'!F17*'2. Hypothèses'!$C$32*'2. Hypothèses'!$C$36</f>
        <v>272619.995245125</v>
      </c>
      <c r="G11" s="19" t="n">
        <f aca="false">'3. Revenus'!G17*'2. Hypothèses'!$C$32*'2. Hypothèses'!$C$36</f>
        <v>309278.295411546</v>
      </c>
      <c r="H11" s="19" t="n">
        <f aca="false">'3. Revenus'!H17*'2. Hypothèses'!$C$32*'2. Hypothèses'!$C$36</f>
        <v>344653.555072142</v>
      </c>
      <c r="I11" s="19" t="n">
        <f aca="false">'3. Revenus'!I17*'2. Hypothèses'!$C$32*'2. Hypothèses'!$C$36</f>
        <v>378790.680644617</v>
      </c>
      <c r="J11" s="19" t="n">
        <f aca="false">'3. Revenus'!J17*'2. Hypothèses'!$C$32*'2. Hypothèses'!$C$36</f>
        <v>411733.006822055</v>
      </c>
      <c r="K11" s="19" t="n">
        <f aca="false">'3. Revenus'!K17*'2. Hypothèses'!$C$32*'2. Hypothèses'!$C$36</f>
        <v>443522.351583283</v>
      </c>
      <c r="L11" s="19" t="n">
        <f aca="false">'3. Revenus'!L17*'2. Hypothèses'!$C$32*'2. Hypothèses'!$C$36</f>
        <v>474199.069277868</v>
      </c>
      <c r="M11" s="19" t="n">
        <f aca="false">'3. Revenus'!M17*'2. Hypothèses'!$C$32*'2. Hypothèses'!$C$36</f>
        <v>503802.101853143</v>
      </c>
      <c r="N11" s="20" t="n">
        <f aca="false">SUM(B11:M11)</f>
        <v>3835170.62033478</v>
      </c>
      <c r="O11" s="19" t="n">
        <f aca="false">'3. Revenus'!O17*'2. Hypothèses'!$D$32*'2. Hypothèses'!$D$36*12</f>
        <v>55703760.366574</v>
      </c>
      <c r="P11" s="19" t="n">
        <f aca="false">'3. Revenus'!P17*'2. Hypothèses'!$E$32*'2. Hypothèses'!$E$36*12</f>
        <v>237985161.114935</v>
      </c>
      <c r="Q11" s="20" t="n">
        <f aca="false">N11+O11+P11</f>
        <v>297524092.101844</v>
      </c>
    </row>
    <row r="12" customFormat="false" ht="15" hidden="false" customHeight="false" outlineLevel="0" collapsed="false">
      <c r="A12" s="6" t="s">
        <v>234</v>
      </c>
      <c r="B12" s="19" t="n">
        <f aca="false">'3. Revenus'!B17*'2. Hypothèses'!$C$32*'2. Hypothèses'!$C$37</f>
        <v>80784</v>
      </c>
      <c r="C12" s="19" t="n">
        <f aca="false">'3. Revenus'!C17*'2. Hypothèses'!$C$32*'2. Hypothèses'!$C$37</f>
        <v>111220.56</v>
      </c>
      <c r="D12" s="19" t="n">
        <f aca="false">'3. Revenus'!D17*'2. Hypothèses'!$C$32*'2. Hypothèses'!$C$37</f>
        <v>140591.8404</v>
      </c>
      <c r="E12" s="19" t="n">
        <f aca="false">'3. Revenus'!E17*'2. Hypothèses'!$C$32*'2. Hypothèses'!$C$37</f>
        <v>168935.125986</v>
      </c>
      <c r="F12" s="19" t="n">
        <f aca="false">'3. Revenus'!F17*'2. Hypothèses'!$C$32*'2. Hypothèses'!$C$37</f>
        <v>196286.39657649</v>
      </c>
      <c r="G12" s="19" t="n">
        <f aca="false">'3. Revenus'!G17*'2. Hypothèses'!$C$32*'2. Hypothèses'!$C$37</f>
        <v>222680.372696313</v>
      </c>
      <c r="H12" s="19" t="n">
        <f aca="false">'3. Revenus'!H17*'2. Hypothèses'!$C$32*'2. Hypothèses'!$C$37</f>
        <v>248150.559651942</v>
      </c>
      <c r="I12" s="19" t="n">
        <f aca="false">'3. Revenus'!I17*'2. Hypothèses'!$C$32*'2. Hypothèses'!$C$37</f>
        <v>272729.290064124</v>
      </c>
      <c r="J12" s="19" t="n">
        <f aca="false">'3. Revenus'!J17*'2. Hypothèses'!$C$32*'2. Hypothèses'!$C$37</f>
        <v>296447.76491188</v>
      </c>
      <c r="K12" s="19" t="n">
        <f aca="false">'3. Revenus'!K17*'2. Hypothèses'!$C$32*'2. Hypothèses'!$C$37</f>
        <v>319336.093139964</v>
      </c>
      <c r="L12" s="19" t="n">
        <f aca="false">'3. Revenus'!L17*'2. Hypothèses'!$C$32*'2. Hypothèses'!$C$37</f>
        <v>341423.329880065</v>
      </c>
      <c r="M12" s="19" t="n">
        <f aca="false">'3. Revenus'!M17*'2. Hypothèses'!$C$32*'2. Hypothèses'!$C$37</f>
        <v>362737.513334263</v>
      </c>
      <c r="N12" s="20" t="n">
        <f aca="false">SUM(B12:M12)</f>
        <v>2761322.84664104</v>
      </c>
      <c r="O12" s="19" t="n">
        <f aca="false">'3. Revenus'!O17*'2. Hypothèses'!$D$32*'2. Hypothèses'!$D$37*12</f>
        <v>39456830.2596566</v>
      </c>
      <c r="P12" s="19" t="n">
        <f aca="false">'3. Revenus'!P17*'2. Hypothèses'!$E$32*'2. Hypothèses'!$E$37*12</f>
        <v>162262609.851092</v>
      </c>
      <c r="Q12" s="20" t="n">
        <f aca="false">N12+O12+P12</f>
        <v>204480762.95739</v>
      </c>
    </row>
    <row r="14" customFormat="false" ht="19.5" hidden="false" customHeight="true" outlineLevel="0" collapsed="false">
      <c r="A14" s="11" t="s">
        <v>235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5" hidden="false" customHeight="false" outlineLevel="0" collapsed="false">
      <c r="A15" s="6" t="s">
        <v>236</v>
      </c>
      <c r="B15" s="19" t="n">
        <f aca="false">'3. Revenus'!B29*'2. Hypothèses'!$C$43</f>
        <v>994021.875</v>
      </c>
      <c r="C15" s="19" t="n">
        <f aca="false">'3. Revenus'!C29*'2. Hypothèses'!$C$43</f>
        <v>1368534.234375</v>
      </c>
      <c r="D15" s="19" t="n">
        <f aca="false">'3. Revenus'!D29*'2. Hypothèses'!$C$43</f>
        <v>1729938.66117188</v>
      </c>
      <c r="E15" s="19" t="n">
        <f aca="false">'3. Revenus'!E29*'2. Hypothèses'!$C$43</f>
        <v>2078693.93303086</v>
      </c>
      <c r="F15" s="19" t="n">
        <f aca="false">'3. Revenus'!F29*'2. Hypothèses'!$C$43</f>
        <v>2415242.77037478</v>
      </c>
      <c r="G15" s="19" t="n">
        <f aca="false">'3. Revenus'!G29*'2. Hypothèses'!$C$43</f>
        <v>2740012.39841166</v>
      </c>
      <c r="H15" s="19" t="n">
        <f aca="false">'3. Revenus'!H29*'2. Hypothèses'!$C$43</f>
        <v>3053415.08946725</v>
      </c>
      <c r="I15" s="19" t="n">
        <f aca="false">'3. Revenus'!I29*'2. Hypothèses'!$C$43</f>
        <v>3355848.6863359</v>
      </c>
      <c r="J15" s="19" t="n">
        <f aca="false">'3. Revenus'!J29*'2. Hypothèses'!$C$43</f>
        <v>3647697.10731414</v>
      </c>
      <c r="K15" s="19" t="n">
        <f aca="false">'3. Revenus'!K29*'2. Hypothèses'!$C$43</f>
        <v>3929330.83355815</v>
      </c>
      <c r="L15" s="19" t="n">
        <f aca="false">'3. Revenus'!L29*'2. Hypothèses'!$C$43</f>
        <v>4201107.37938361</v>
      </c>
      <c r="M15" s="19" t="n">
        <f aca="false">'3. Revenus'!M29*'2. Hypothèses'!$C$43</f>
        <v>4463371.74610519</v>
      </c>
      <c r="N15" s="20" t="n">
        <f aca="false">SUM(B15:M15)</f>
        <v>33977214.7145284</v>
      </c>
      <c r="O15" s="19" t="n">
        <f aca="false">'3. Revenus'!O29*'2. Hypothèses'!$D$43</f>
        <v>261638874.449059</v>
      </c>
      <c r="P15" s="19" t="n">
        <f aca="false">'3. Revenus'!P29*'2. Hypothèses'!$E$43</f>
        <v>790450713.703178</v>
      </c>
      <c r="Q15" s="20" t="n">
        <f aca="false">N15+O15+P15</f>
        <v>1086066802.86677</v>
      </c>
    </row>
    <row r="17" customFormat="false" ht="19.5" hidden="false" customHeight="true" outlineLevel="0" collapsed="false">
      <c r="A17" s="11" t="s">
        <v>237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15" hidden="false" customHeight="false" outlineLevel="0" collapsed="false">
      <c r="A18" s="6" t="s">
        <v>238</v>
      </c>
      <c r="B18" s="19" t="n">
        <f aca="false">'2. Hypothèses'!$C$11*'2. Hypothèses'!$C$72</f>
        <v>12250000</v>
      </c>
      <c r="C18" s="19" t="n">
        <f aca="false">'2. Hypothèses'!$C$11*'2. Hypothèses'!$C$72</f>
        <v>12250000</v>
      </c>
      <c r="D18" s="19" t="n">
        <f aca="false">'2. Hypothèses'!$C$11*'2. Hypothèses'!$C$72</f>
        <v>12250000</v>
      </c>
      <c r="E18" s="19" t="n">
        <f aca="false">'2. Hypothèses'!$C$11*'2. Hypothèses'!$C$72</f>
        <v>12250000</v>
      </c>
      <c r="F18" s="19" t="n">
        <f aca="false">'2. Hypothèses'!$C$11*'2. Hypothèses'!$C$72</f>
        <v>12250000</v>
      </c>
      <c r="G18" s="19" t="n">
        <f aca="false">'2. Hypothèses'!$C$11*'2. Hypothèses'!$C$72</f>
        <v>12250000</v>
      </c>
      <c r="H18" s="19" t="n">
        <f aca="false">'2. Hypothèses'!$C$11*'2. Hypothèses'!$C$72</f>
        <v>12250000</v>
      </c>
      <c r="I18" s="19" t="n">
        <f aca="false">'2. Hypothèses'!$C$11*'2. Hypothèses'!$C$72</f>
        <v>12250000</v>
      </c>
      <c r="J18" s="19" t="n">
        <f aca="false">'2. Hypothèses'!$C$11*'2. Hypothèses'!$C$72</f>
        <v>12250000</v>
      </c>
      <c r="K18" s="19" t="n">
        <f aca="false">'2. Hypothèses'!$C$11*'2. Hypothèses'!$C$72</f>
        <v>12250000</v>
      </c>
      <c r="L18" s="19" t="n">
        <f aca="false">'2. Hypothèses'!$C$11*'2. Hypothèses'!$C$72</f>
        <v>12250000</v>
      </c>
      <c r="M18" s="19" t="n">
        <f aca="false">'2. Hypothèses'!$C$11*'2. Hypothèses'!$C$72</f>
        <v>12250000</v>
      </c>
      <c r="N18" s="20" t="n">
        <f aca="false">SUM(B18:M18)</f>
        <v>147000000</v>
      </c>
      <c r="O18" s="19" t="n">
        <f aca="false">'2. Hypothèses'!$D$12*'2. Hypothèses'!$D$72*12</f>
        <v>270000000</v>
      </c>
      <c r="P18" s="19" t="n">
        <f aca="false">'2. Hypothèses'!$E$13*'2. Hypothèses'!$E$72*12</f>
        <v>360000000</v>
      </c>
      <c r="Q18" s="20" t="n">
        <f aca="false">N18+O18+P18</f>
        <v>777000000</v>
      </c>
    </row>
    <row r="20" customFormat="false" ht="21.75" hidden="false" customHeight="true" outlineLevel="0" collapsed="false">
      <c r="A20" s="23" t="s">
        <v>239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customFormat="false" ht="15" hidden="false" customHeight="false" outlineLevel="0" collapsed="false">
      <c r="A21" s="21" t="s">
        <v>239</v>
      </c>
      <c r="B21" s="22" t="n">
        <f aca="false">B5+B6+B7+B10+B11+B12+B15+B18</f>
        <v>22217590.875</v>
      </c>
      <c r="C21" s="22" t="n">
        <f aca="false">C5+C6+C7+C10+C11+C12+C15+C18</f>
        <v>25131527.319375</v>
      </c>
      <c r="D21" s="22" t="n">
        <f aca="false">D5+D6+D7+D10+D11+D12+D15+D18</f>
        <v>28438475.9881969</v>
      </c>
      <c r="E21" s="22" t="n">
        <f aca="false">E5+E6+E7+E10+E11+E12+E15+E18</f>
        <v>31629681.45361</v>
      </c>
      <c r="F21" s="22" t="n">
        <f aca="false">F5+F6+F7+F10+F11+F12+F15+F18</f>
        <v>34709194.7277336</v>
      </c>
      <c r="G21" s="22" t="n">
        <f aca="false">G5+G6+G7+G10+G11+G12+G15+G18</f>
        <v>37680925.037263</v>
      </c>
      <c r="H21" s="22" t="n">
        <f aca="false">H5+H6+H7+H10+H11+H12+H15+H18</f>
        <v>40548644.7859588</v>
      </c>
      <c r="I21" s="22" t="n">
        <f aca="false">I5+I6+I7+I10+I11+I12+I15+I18</f>
        <v>43315994.3434502</v>
      </c>
      <c r="J21" s="22" t="n">
        <f aca="false">J5+J6+J7+J10+J11+J12+J15+J18</f>
        <v>45986486.6664294</v>
      </c>
      <c r="K21" s="22" t="n">
        <f aca="false">K5+K6+K7+K10+K11+K12+K15+K18</f>
        <v>48563511.7581044</v>
      </c>
      <c r="L21" s="22" t="n">
        <f aca="false">L5+L6+L7+L10+L11+L12+L15+L18</f>
        <v>51050340.9715708</v>
      </c>
      <c r="M21" s="22" t="n">
        <f aca="false">M5+M6+M7+M10+M11+M12+M15+M18</f>
        <v>53450131.1625658</v>
      </c>
      <c r="N21" s="22" t="n">
        <f aca="false">N5+N6+N7+N10+N11+N12+N15+N18</f>
        <v>462722505.089258</v>
      </c>
      <c r="O21" s="22" t="n">
        <f aca="false">O5+O6+O7+O10+O11+O12+O15+O18</f>
        <v>2699738362.00687</v>
      </c>
      <c r="P21" s="22" t="n">
        <f aca="false">P5+P6+P7+P10+P11+P12+P15+P18</f>
        <v>6933122205.59052</v>
      </c>
      <c r="Q21" s="22" t="n">
        <f aca="false">Q5+Q6+Q7+Q10+Q11+Q12+Q15+Q18</f>
        <v>10095583072.6866</v>
      </c>
    </row>
    <row r="22" customFormat="false" ht="15" hidden="false" customHeight="false" outlineLevel="0" collapsed="false">
      <c r="A22" s="12" t="s">
        <v>240</v>
      </c>
      <c r="B22" s="24" t="n">
        <f aca="false">IFERROR(B21/'3. Revenus'!B32,0)</f>
        <v>1.3378673331799</v>
      </c>
      <c r="C22" s="24" t="n">
        <f aca="false">IFERROR(C21/'3. Revenus'!C32,0)</f>
        <v>1.17102978682696</v>
      </c>
      <c r="D22" s="24" t="n">
        <f aca="false">IFERROR(D21/'3. Revenus'!D32,0)</f>
        <v>1.05442996524333</v>
      </c>
      <c r="E22" s="24" t="n">
        <f aca="false">IFERROR(E21/'3. Revenus'!E32,0)</f>
        <v>0.979639280011574</v>
      </c>
      <c r="F22" s="24" t="n">
        <f aca="false">IFERROR(F21/'3. Revenus'!F32,0)</f>
        <v>0.927617205978949</v>
      </c>
      <c r="G22" s="24" t="n">
        <f aca="false">IFERROR(G21/'3. Revenus'!G32,0)</f>
        <v>0.889361149331518</v>
      </c>
      <c r="H22" s="24" t="n">
        <f aca="false">IFERROR(H21/'3. Revenus'!H32,0)</f>
        <v>0.860061891559634</v>
      </c>
      <c r="I22" s="24" t="n">
        <f aca="false">IFERROR(I21/'3. Revenus'!I32,0)</f>
        <v>0.836916674069194</v>
      </c>
      <c r="J22" s="24" t="n">
        <f aca="false">IFERROR(J21/'3. Revenus'!J32,0)</f>
        <v>0.818181630309723</v>
      </c>
      <c r="K22" s="24" t="n">
        <f aca="false">IFERROR(K21/'3. Revenus'!K32,0)</f>
        <v>0.802714871337311</v>
      </c>
      <c r="L22" s="24" t="n">
        <f aca="false">IFERROR(L21/'3. Revenus'!L32,0)</f>
        <v>0.789737367141505</v>
      </c>
      <c r="M22" s="24" t="n">
        <f aca="false">IFERROR(M21/'3. Revenus'!M32,0)</f>
        <v>0.778699419184197</v>
      </c>
      <c r="N22" s="24" t="n">
        <f aca="false">IFERROR(N21/'3. Revenus'!N32,0)</f>
        <v>0.879698076332102</v>
      </c>
      <c r="O22" s="24" t="n">
        <f aca="false">IFERROR(O21/'3. Revenus'!O32,0)</f>
        <v>0.589158399620343</v>
      </c>
      <c r="P22" s="24" t="n">
        <f aca="false">IFERROR(P21/'3. Revenus'!P32,0)</f>
        <v>0.484112344282985</v>
      </c>
      <c r="Q22" s="24" t="n">
        <f aca="false">IFERROR(Q21/'3. Revenus'!Q32,0)</f>
        <v>0.519596108235047</v>
      </c>
    </row>
    <row r="23" customFormat="false" ht="15" hidden="false" customHeight="false" outlineLevel="0" collapsed="false">
      <c r="A23" s="21" t="s">
        <v>241</v>
      </c>
      <c r="B23" s="22" t="n">
        <f aca="false">'3. Revenus'!B32-B21</f>
        <v>-5610868.875</v>
      </c>
      <c r="C23" s="22" t="n">
        <f aca="false">'3. Revenus'!C32-C21</f>
        <v>-3670478.589375</v>
      </c>
      <c r="D23" s="22" t="n">
        <f aca="false">'3. Revenus'!D32-D21</f>
        <v>-1468001.96374687</v>
      </c>
      <c r="E23" s="22" t="n">
        <f aca="false">'3. Revenus'!E32-E21</f>
        <v>657387.979984272</v>
      </c>
      <c r="F23" s="22" t="n">
        <f aca="false">'3. Revenus'!F32-F21</f>
        <v>2708389.27568482</v>
      </c>
      <c r="G23" s="22" t="n">
        <f aca="false">'3. Revenus'!G32-G21</f>
        <v>4687605.52603584</v>
      </c>
      <c r="H23" s="22" t="n">
        <f aca="false">'3. Revenus'!H32-H21</f>
        <v>6597549.2076246</v>
      </c>
      <c r="I23" s="22" t="n">
        <f aca="false">'3. Revenus'!I32-I21</f>
        <v>8440644.86035774</v>
      </c>
      <c r="J23" s="22" t="n">
        <f aca="false">'3. Revenus'!J32-J21</f>
        <v>10219232.1652452</v>
      </c>
      <c r="K23" s="22" t="n">
        <f aca="false">'3. Revenus'!K32-K21</f>
        <v>11935568.9144616</v>
      </c>
      <c r="L23" s="22" t="n">
        <f aca="false">'3. Revenus'!L32-L21</f>
        <v>13591833.8774555</v>
      </c>
      <c r="M23" s="22" t="n">
        <f aca="false">'3. Revenus'!M32-M21</f>
        <v>15190129.5667445</v>
      </c>
      <c r="N23" s="22" t="n">
        <f aca="false">'3. Revenus'!N32-N21</f>
        <v>63278991.9454722</v>
      </c>
      <c r="O23" s="22" t="n">
        <f aca="false">'3. Revenus'!O32-O21</f>
        <v>1882625843.86136</v>
      </c>
      <c r="P23" s="22" t="n">
        <f aca="false">'3. Revenus'!P32-P21</f>
        <v>7388186241.64421</v>
      </c>
      <c r="Q23" s="22" t="n">
        <f aca="false">'3. Revenus'!Q32-Q21</f>
        <v>9334091077.45104</v>
      </c>
    </row>
    <row r="24" customFormat="false" ht="15" hidden="false" customHeight="false" outlineLevel="0" collapsed="false">
      <c r="A24" s="12" t="s">
        <v>242</v>
      </c>
      <c r="B24" s="24" t="n">
        <f aca="false">IFERROR(B23/'3. Revenus'!B32,0)</f>
        <v>-0.337867333179902</v>
      </c>
      <c r="C24" s="24" t="n">
        <f aca="false">IFERROR(C23/'3. Revenus'!C32,0)</f>
        <v>-0.171029786826964</v>
      </c>
      <c r="D24" s="24" t="n">
        <f aca="false">IFERROR(D23/'3. Revenus'!D32,0)</f>
        <v>-0.0544299652433272</v>
      </c>
      <c r="E24" s="24" t="n">
        <f aca="false">IFERROR(E23/'3. Revenus'!E32,0)</f>
        <v>0.0203607199884257</v>
      </c>
      <c r="F24" s="24" t="n">
        <f aca="false">IFERROR(F23/'3. Revenus'!F32,0)</f>
        <v>0.0723827940210512</v>
      </c>
      <c r="G24" s="24" t="n">
        <f aca="false">IFERROR(G23/'3. Revenus'!G32,0)</f>
        <v>0.110638850668482</v>
      </c>
      <c r="H24" s="24" t="n">
        <f aca="false">IFERROR(H23/'3. Revenus'!H32,0)</f>
        <v>0.139938108440366</v>
      </c>
      <c r="I24" s="24" t="n">
        <f aca="false">IFERROR(I23/'3. Revenus'!I32,0)</f>
        <v>0.163083325930806</v>
      </c>
      <c r="J24" s="24" t="n">
        <f aca="false">IFERROR(J23/'3. Revenus'!J32,0)</f>
        <v>0.181818369690277</v>
      </c>
      <c r="K24" s="24" t="n">
        <f aca="false">IFERROR(K23/'3. Revenus'!K32,0)</f>
        <v>0.197285128662689</v>
      </c>
      <c r="L24" s="24" t="n">
        <f aca="false">IFERROR(L23/'3. Revenus'!L32,0)</f>
        <v>0.210262632858495</v>
      </c>
      <c r="M24" s="24" t="n">
        <f aca="false">IFERROR(M23/'3. Revenus'!M32,0)</f>
        <v>0.221300580815803</v>
      </c>
      <c r="N24" s="24" t="n">
        <f aca="false">IFERROR(N23/'3. Revenus'!N32,0)</f>
        <v>0.120301923667898</v>
      </c>
      <c r="O24" s="24" t="n">
        <f aca="false">IFERROR(O23/'3. Revenus'!O32,0)</f>
        <v>0.410841600379657</v>
      </c>
      <c r="P24" s="24" t="n">
        <f aca="false">IFERROR(P23/'3. Revenus'!P32,0)</f>
        <v>0.515887655717015</v>
      </c>
      <c r="Q24" s="24" t="n">
        <f aca="false">IFERROR(Q23/'3. Revenus'!Q32,0)</f>
        <v>0.480403891764953</v>
      </c>
    </row>
  </sheetData>
  <mergeCells count="7">
    <mergeCell ref="A1:Q1"/>
    <mergeCell ref="B2:N2"/>
    <mergeCell ref="A4:N4"/>
    <mergeCell ref="A9:N9"/>
    <mergeCell ref="A14:N14"/>
    <mergeCell ref="A17:N17"/>
    <mergeCell ref="A20: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7" min="2" style="0" width="14"/>
  </cols>
  <sheetData>
    <row r="1" customFormat="false" ht="31.5" hidden="false" customHeight="true" outlineLevel="0" collapsed="false">
      <c r="A1" s="1" t="s">
        <v>243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B2" s="16" t="s">
        <v>183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27.75" hidden="false" customHeight="true" outlineLevel="0" collapsed="false">
      <c r="A3" s="4" t="s">
        <v>184</v>
      </c>
      <c r="B3" s="4" t="s">
        <v>185</v>
      </c>
      <c r="C3" s="4" t="s">
        <v>186</v>
      </c>
      <c r="D3" s="4" t="s">
        <v>187</v>
      </c>
      <c r="E3" s="4" t="s">
        <v>188</v>
      </c>
      <c r="F3" s="4" t="s">
        <v>189</v>
      </c>
      <c r="G3" s="4" t="s">
        <v>190</v>
      </c>
      <c r="H3" s="4" t="s">
        <v>191</v>
      </c>
      <c r="I3" s="4" t="s">
        <v>192</v>
      </c>
      <c r="J3" s="4" t="s">
        <v>193</v>
      </c>
      <c r="K3" s="4" t="s">
        <v>194</v>
      </c>
      <c r="L3" s="4" t="s">
        <v>195</v>
      </c>
      <c r="M3" s="4" t="s">
        <v>196</v>
      </c>
      <c r="N3" s="4" t="s">
        <v>197</v>
      </c>
      <c r="O3" s="4" t="s">
        <v>44</v>
      </c>
      <c r="P3" s="4" t="s">
        <v>45</v>
      </c>
      <c r="Q3" s="4" t="s">
        <v>198</v>
      </c>
    </row>
    <row r="4" customFormat="false" ht="19.5" hidden="false" customHeight="true" outlineLevel="0" collapsed="false">
      <c r="A4" s="11" t="s">
        <v>244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15" hidden="false" customHeight="false" outlineLevel="0" collapsed="false">
      <c r="A5" s="12" t="s">
        <v>245</v>
      </c>
      <c r="B5" s="19" t="n">
        <f aca="false">'2. Hypothèses'!$C$45*'2. Hypothèses'!$C$49</f>
        <v>6800000</v>
      </c>
      <c r="C5" s="19" t="n">
        <f aca="false">'2. Hypothèses'!$C$45*'2. Hypothèses'!$C$49</f>
        <v>6800000</v>
      </c>
      <c r="D5" s="19" t="n">
        <f aca="false">'2. Hypothèses'!$C$45*'2. Hypothèses'!$C$49</f>
        <v>6800000</v>
      </c>
      <c r="E5" s="19" t="n">
        <f aca="false">'2. Hypothèses'!$C$45*'2. Hypothèses'!$C$49</f>
        <v>6800000</v>
      </c>
      <c r="F5" s="19" t="n">
        <f aca="false">'2. Hypothèses'!$C$45*'2. Hypothèses'!$C$49</f>
        <v>6800000</v>
      </c>
      <c r="G5" s="19" t="n">
        <f aca="false">'2. Hypothèses'!$C$45*'2. Hypothèses'!$C$49</f>
        <v>6800000</v>
      </c>
      <c r="H5" s="19" t="n">
        <f aca="false">'2. Hypothèses'!$C$45*'2. Hypothèses'!$C$49</f>
        <v>6800000</v>
      </c>
      <c r="I5" s="19" t="n">
        <f aca="false">'2. Hypothèses'!$C$45*'2. Hypothèses'!$C$49</f>
        <v>6800000</v>
      </c>
      <c r="J5" s="19" t="n">
        <f aca="false">'2. Hypothèses'!$C$45*'2. Hypothèses'!$C$49</f>
        <v>6800000</v>
      </c>
      <c r="K5" s="19" t="n">
        <f aca="false">'2. Hypothèses'!$C$45*'2. Hypothèses'!$C$49</f>
        <v>6800000</v>
      </c>
      <c r="L5" s="19" t="n">
        <f aca="false">'2. Hypothèses'!$C$45*'2. Hypothèses'!$C$49</f>
        <v>6800000</v>
      </c>
      <c r="M5" s="19" t="n">
        <f aca="false">'2. Hypothèses'!$C$45*'2. Hypothèses'!$C$49</f>
        <v>6800000</v>
      </c>
      <c r="N5" s="20" t="n">
        <f aca="false">SUM(B5:M5)</f>
        <v>81600000</v>
      </c>
      <c r="O5" s="19" t="n">
        <f aca="false">'2. Hypothèses'!$D$45*'2. Hypothèses'!$D$49*12</f>
        <v>151200000</v>
      </c>
      <c r="P5" s="19" t="n">
        <f aca="false">'2. Hypothèses'!$E$45*'2. Hypothèses'!$E$49*12</f>
        <v>250800000</v>
      </c>
      <c r="Q5" s="20" t="n">
        <f aca="false">N5+O5+P5</f>
        <v>483600000</v>
      </c>
    </row>
    <row r="6" customFormat="false" ht="15" hidden="false" customHeight="false" outlineLevel="0" collapsed="false">
      <c r="A6" s="12" t="s">
        <v>246</v>
      </c>
      <c r="B6" s="19" t="n">
        <f aca="false">'2. Hypothèses'!$C$46*'2. Hypothèses'!$C$50</f>
        <v>3900000</v>
      </c>
      <c r="C6" s="19" t="n">
        <f aca="false">'2. Hypothèses'!$C$46*'2. Hypothèses'!$C$50</f>
        <v>3900000</v>
      </c>
      <c r="D6" s="19" t="n">
        <f aca="false">'2. Hypothèses'!$C$46*'2. Hypothèses'!$C$50</f>
        <v>3900000</v>
      </c>
      <c r="E6" s="19" t="n">
        <f aca="false">'2. Hypothèses'!$C$46*'2. Hypothèses'!$C$50</f>
        <v>3900000</v>
      </c>
      <c r="F6" s="19" t="n">
        <f aca="false">'2. Hypothèses'!$C$46*'2. Hypothèses'!$C$50</f>
        <v>3900000</v>
      </c>
      <c r="G6" s="19" t="n">
        <f aca="false">'2. Hypothèses'!$C$46*'2. Hypothèses'!$C$50</f>
        <v>3900000</v>
      </c>
      <c r="H6" s="19" t="n">
        <f aca="false">'2. Hypothèses'!$C$46*'2. Hypothèses'!$C$50</f>
        <v>3900000</v>
      </c>
      <c r="I6" s="19" t="n">
        <f aca="false">'2. Hypothèses'!$C$46*'2. Hypothèses'!$C$50</f>
        <v>3900000</v>
      </c>
      <c r="J6" s="19" t="n">
        <f aca="false">'2. Hypothèses'!$C$46*'2. Hypothèses'!$C$50</f>
        <v>3900000</v>
      </c>
      <c r="K6" s="19" t="n">
        <f aca="false">'2. Hypothèses'!$C$46*'2. Hypothèses'!$C$50</f>
        <v>3900000</v>
      </c>
      <c r="L6" s="19" t="n">
        <f aca="false">'2. Hypothèses'!$C$46*'2. Hypothèses'!$C$50</f>
        <v>3900000</v>
      </c>
      <c r="M6" s="19" t="n">
        <f aca="false">'2. Hypothèses'!$C$46*'2. Hypothèses'!$C$50</f>
        <v>3900000</v>
      </c>
      <c r="N6" s="20" t="n">
        <f aca="false">SUM(B6:M6)</f>
        <v>46800000</v>
      </c>
      <c r="O6" s="19" t="n">
        <f aca="false">'2. Hypothèses'!$D$46*'2. Hypothèses'!$D$50*12</f>
        <v>100800000</v>
      </c>
      <c r="P6" s="19" t="n">
        <f aca="false">'2. Hypothèses'!$E$46*'2. Hypothèses'!$E$50*12</f>
        <v>180000000</v>
      </c>
      <c r="Q6" s="20" t="n">
        <f aca="false">N6+O6+P6</f>
        <v>327600000</v>
      </c>
    </row>
    <row r="7" customFormat="false" ht="15" hidden="false" customHeight="false" outlineLevel="0" collapsed="false">
      <c r="A7" s="12" t="s">
        <v>247</v>
      </c>
      <c r="B7" s="19" t="n">
        <f aca="false">'2. Hypothèses'!$C$47*'2. Hypothèses'!$C$51</f>
        <v>3150000</v>
      </c>
      <c r="C7" s="19" t="n">
        <f aca="false">'2. Hypothèses'!$C$47*'2. Hypothèses'!$C$51</f>
        <v>3150000</v>
      </c>
      <c r="D7" s="19" t="n">
        <f aca="false">'2. Hypothèses'!$C$47*'2. Hypothèses'!$C$51</f>
        <v>3150000</v>
      </c>
      <c r="E7" s="19" t="n">
        <f aca="false">'2. Hypothèses'!$C$47*'2. Hypothèses'!$C$51</f>
        <v>3150000</v>
      </c>
      <c r="F7" s="19" t="n">
        <f aca="false">'2. Hypothèses'!$C$47*'2. Hypothèses'!$C$51</f>
        <v>3150000</v>
      </c>
      <c r="G7" s="19" t="n">
        <f aca="false">'2. Hypothèses'!$C$47*'2. Hypothèses'!$C$51</f>
        <v>3150000</v>
      </c>
      <c r="H7" s="19" t="n">
        <f aca="false">'2. Hypothèses'!$C$47*'2. Hypothèses'!$C$51</f>
        <v>3150000</v>
      </c>
      <c r="I7" s="19" t="n">
        <f aca="false">'2. Hypothèses'!$C$47*'2. Hypothèses'!$C$51</f>
        <v>3150000</v>
      </c>
      <c r="J7" s="19" t="n">
        <f aca="false">'2. Hypothèses'!$C$47*'2. Hypothèses'!$C$51</f>
        <v>3150000</v>
      </c>
      <c r="K7" s="19" t="n">
        <f aca="false">'2. Hypothèses'!$C$47*'2. Hypothèses'!$C$51</f>
        <v>3150000</v>
      </c>
      <c r="L7" s="19" t="n">
        <f aca="false">'2. Hypothèses'!$C$47*'2. Hypothèses'!$C$51</f>
        <v>3150000</v>
      </c>
      <c r="M7" s="19" t="n">
        <f aca="false">'2. Hypothèses'!$C$47*'2. Hypothèses'!$C$51</f>
        <v>3150000</v>
      </c>
      <c r="N7" s="20" t="n">
        <f aca="false">SUM(B7:M7)</f>
        <v>37800000</v>
      </c>
      <c r="O7" s="19" t="n">
        <f aca="false">'2. Hypothèses'!$D$47*'2. Hypothèses'!$D$51*12</f>
        <v>84000000</v>
      </c>
      <c r="P7" s="19" t="n">
        <f aca="false">'2. Hypothèses'!$E$47*'2. Hypothèses'!$E$51*12</f>
        <v>165000000</v>
      </c>
      <c r="Q7" s="20" t="n">
        <f aca="false">N7+O7+P7</f>
        <v>286800000</v>
      </c>
    </row>
    <row r="8" customFormat="false" ht="15" hidden="false" customHeight="false" outlineLevel="0" collapsed="false">
      <c r="A8" s="12" t="s">
        <v>248</v>
      </c>
      <c r="B8" s="19" t="n">
        <f aca="false">'2. Hypothèses'!$C$48*'2. Hypothèses'!$C$52</f>
        <v>3800000</v>
      </c>
      <c r="C8" s="19" t="n">
        <f aca="false">'2. Hypothèses'!$C$48*'2. Hypothèses'!$C$52</f>
        <v>3800000</v>
      </c>
      <c r="D8" s="19" t="n">
        <f aca="false">'2. Hypothèses'!$C$48*'2. Hypothèses'!$C$52</f>
        <v>3800000</v>
      </c>
      <c r="E8" s="19" t="n">
        <f aca="false">'2. Hypothèses'!$C$48*'2. Hypothèses'!$C$52</f>
        <v>3800000</v>
      </c>
      <c r="F8" s="19" t="n">
        <f aca="false">'2. Hypothèses'!$C$48*'2. Hypothèses'!$C$52</f>
        <v>3800000</v>
      </c>
      <c r="G8" s="19" t="n">
        <f aca="false">'2. Hypothèses'!$C$48*'2. Hypothèses'!$C$52</f>
        <v>3800000</v>
      </c>
      <c r="H8" s="19" t="n">
        <f aca="false">'2. Hypothèses'!$C$48*'2. Hypothèses'!$C$52</f>
        <v>3800000</v>
      </c>
      <c r="I8" s="19" t="n">
        <f aca="false">'2. Hypothèses'!$C$48*'2. Hypothèses'!$C$52</f>
        <v>3800000</v>
      </c>
      <c r="J8" s="19" t="n">
        <f aca="false">'2. Hypothèses'!$C$48*'2. Hypothèses'!$C$52</f>
        <v>3800000</v>
      </c>
      <c r="K8" s="19" t="n">
        <f aca="false">'2. Hypothèses'!$C$48*'2. Hypothèses'!$C$52</f>
        <v>3800000</v>
      </c>
      <c r="L8" s="19" t="n">
        <f aca="false">'2. Hypothèses'!$C$48*'2. Hypothèses'!$C$52</f>
        <v>3800000</v>
      </c>
      <c r="M8" s="19" t="n">
        <f aca="false">'2. Hypothèses'!$C$48*'2. Hypothèses'!$C$52</f>
        <v>3800000</v>
      </c>
      <c r="N8" s="20" t="n">
        <f aca="false">SUM(B8:M8)</f>
        <v>45600000</v>
      </c>
      <c r="O8" s="19" t="n">
        <f aca="false">'2. Hypothèses'!$D$48*'2. Hypothèses'!$D$52*12</f>
        <v>72000000</v>
      </c>
      <c r="P8" s="19" t="n">
        <f aca="false">'2. Hypothèses'!$E$48*'2. Hypothèses'!$E$52*12</f>
        <v>118800000</v>
      </c>
      <c r="Q8" s="20" t="n">
        <f aca="false">N8+O8+P8</f>
        <v>236400000</v>
      </c>
    </row>
    <row r="9" customFormat="false" ht="15" hidden="false" customHeight="false" outlineLevel="0" collapsed="false">
      <c r="A9" s="21" t="s">
        <v>249</v>
      </c>
      <c r="B9" s="22" t="n">
        <f aca="false">B5+B6+B7+B8</f>
        <v>17650000</v>
      </c>
      <c r="C9" s="22" t="n">
        <f aca="false">C5+C6+C7+C8</f>
        <v>17650000</v>
      </c>
      <c r="D9" s="22" t="n">
        <f aca="false">D5+D6+D7+D8</f>
        <v>17650000</v>
      </c>
      <c r="E9" s="22" t="n">
        <f aca="false">E5+E6+E7+E8</f>
        <v>17650000</v>
      </c>
      <c r="F9" s="22" t="n">
        <f aca="false">F5+F6+F7+F8</f>
        <v>17650000</v>
      </c>
      <c r="G9" s="22" t="n">
        <f aca="false">G5+G6+G7+G8</f>
        <v>17650000</v>
      </c>
      <c r="H9" s="22" t="n">
        <f aca="false">H5+H6+H7+H8</f>
        <v>17650000</v>
      </c>
      <c r="I9" s="22" t="n">
        <f aca="false">I5+I6+I7+I8</f>
        <v>17650000</v>
      </c>
      <c r="J9" s="22" t="n">
        <f aca="false">J5+J6+J7+J8</f>
        <v>17650000</v>
      </c>
      <c r="K9" s="22" t="n">
        <f aca="false">K5+K6+K7+K8</f>
        <v>17650000</v>
      </c>
      <c r="L9" s="22" t="n">
        <f aca="false">L5+L6+L7+L8</f>
        <v>17650000</v>
      </c>
      <c r="M9" s="22" t="n">
        <f aca="false">M5+M6+M7+M8</f>
        <v>17650000</v>
      </c>
      <c r="N9" s="22" t="n">
        <f aca="false">N5+N6+N7+N8</f>
        <v>211800000</v>
      </c>
      <c r="O9" s="22" t="n">
        <f aca="false">O5+O6+O7+O8</f>
        <v>408000000</v>
      </c>
      <c r="P9" s="22" t="n">
        <f aca="false">P5+P6+P7+P8</f>
        <v>714600000</v>
      </c>
      <c r="Q9" s="22" t="n">
        <f aca="false">Q5+Q6+Q7+Q8</f>
        <v>1334400000</v>
      </c>
    </row>
    <row r="10" customFormat="false" ht="15" hidden="false" customHeight="false" outlineLevel="0" collapsed="false">
      <c r="A10" s="12" t="s">
        <v>250</v>
      </c>
      <c r="B10" s="17" t="n">
        <f aca="false">'2. Hypothèses'!$C$45+'2. Hypothèses'!$C$46+'2. Hypothèses'!$C$47+'2. Hypothèses'!$C$48</f>
        <v>25</v>
      </c>
      <c r="C10" s="17" t="n">
        <f aca="false">'2. Hypothèses'!$C$45+'2. Hypothèses'!$C$46+'2. Hypothèses'!$C$47+'2. Hypothèses'!$C$48</f>
        <v>25</v>
      </c>
      <c r="D10" s="17" t="n">
        <f aca="false">'2. Hypothèses'!$C$45+'2. Hypothèses'!$C$46+'2. Hypothèses'!$C$47+'2. Hypothèses'!$C$48</f>
        <v>25</v>
      </c>
      <c r="E10" s="17" t="n">
        <f aca="false">'2. Hypothèses'!$C$45+'2. Hypothèses'!$C$46+'2. Hypothèses'!$C$47+'2. Hypothèses'!$C$48</f>
        <v>25</v>
      </c>
      <c r="F10" s="17" t="n">
        <f aca="false">'2. Hypothèses'!$C$45+'2. Hypothèses'!$C$46+'2. Hypothèses'!$C$47+'2. Hypothèses'!$C$48</f>
        <v>25</v>
      </c>
      <c r="G10" s="17" t="n">
        <f aca="false">'2. Hypothèses'!$C$45+'2. Hypothèses'!$C$46+'2. Hypothèses'!$C$47+'2. Hypothèses'!$C$48</f>
        <v>25</v>
      </c>
      <c r="H10" s="17" t="n">
        <f aca="false">'2. Hypothèses'!$C$45+'2. Hypothèses'!$C$46+'2. Hypothèses'!$C$47+'2. Hypothèses'!$C$48</f>
        <v>25</v>
      </c>
      <c r="I10" s="17" t="n">
        <f aca="false">'2. Hypothèses'!$C$45+'2. Hypothèses'!$C$46+'2. Hypothèses'!$C$47+'2. Hypothèses'!$C$48</f>
        <v>25</v>
      </c>
      <c r="J10" s="17" t="n">
        <f aca="false">'2. Hypothèses'!$C$45+'2. Hypothèses'!$C$46+'2. Hypothèses'!$C$47+'2. Hypothèses'!$C$48</f>
        <v>25</v>
      </c>
      <c r="K10" s="17" t="n">
        <f aca="false">'2. Hypothèses'!$C$45+'2. Hypothèses'!$C$46+'2. Hypothèses'!$C$47+'2. Hypothèses'!$C$48</f>
        <v>25</v>
      </c>
      <c r="L10" s="17" t="n">
        <f aca="false">'2. Hypothèses'!$C$45+'2. Hypothèses'!$C$46+'2. Hypothèses'!$C$47+'2. Hypothèses'!$C$48</f>
        <v>25</v>
      </c>
      <c r="M10" s="17" t="n">
        <f aca="false">'2. Hypothèses'!$C$45+'2. Hypothèses'!$C$46+'2. Hypothèses'!$C$47+'2. Hypothèses'!$C$48</f>
        <v>25</v>
      </c>
      <c r="N10" s="18" t="n">
        <f aca="false">M10</f>
        <v>25</v>
      </c>
      <c r="O10" s="17" t="n">
        <f aca="false">'2. Hypothèses'!$D$45+'2. Hypothèses'!$D$46+'2. Hypothèses'!$D$47+'2. Hypothèses'!$D$48</f>
        <v>46</v>
      </c>
      <c r="P10" s="17" t="n">
        <f aca="false">'2. Hypothèses'!$E$45+'2. Hypothèses'!$E$46+'2. Hypothèses'!$E$47+'2. Hypothèses'!$E$48</f>
        <v>76</v>
      </c>
      <c r="Q10" s="18" t="n">
        <f aca="false">P10</f>
        <v>76</v>
      </c>
    </row>
    <row r="12" customFormat="false" ht="19.5" hidden="false" customHeight="true" outlineLevel="0" collapsed="false">
      <c r="A12" s="11" t="s">
        <v>251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15" hidden="false" customHeight="false" outlineLevel="0" collapsed="false">
      <c r="A13" s="12" t="s">
        <v>252</v>
      </c>
      <c r="B13" s="19" t="n">
        <f aca="false">'2. Hypothèses'!$C$54</f>
        <v>1800000</v>
      </c>
      <c r="C13" s="19" t="n">
        <f aca="false">'2. Hypothèses'!$C$54</f>
        <v>1800000</v>
      </c>
      <c r="D13" s="19" t="n">
        <f aca="false">'2. Hypothèses'!$C$54</f>
        <v>1800000</v>
      </c>
      <c r="E13" s="19" t="n">
        <f aca="false">'2. Hypothèses'!$C$54</f>
        <v>1800000</v>
      </c>
      <c r="F13" s="19" t="n">
        <f aca="false">'2. Hypothèses'!$C$54</f>
        <v>1800000</v>
      </c>
      <c r="G13" s="19" t="n">
        <f aca="false">'2. Hypothèses'!$C$54</f>
        <v>1800000</v>
      </c>
      <c r="H13" s="19" t="n">
        <f aca="false">'2. Hypothèses'!$C$54</f>
        <v>1800000</v>
      </c>
      <c r="I13" s="19" t="n">
        <f aca="false">'2. Hypothèses'!$C$54</f>
        <v>1800000</v>
      </c>
      <c r="J13" s="19" t="n">
        <f aca="false">'2. Hypothèses'!$C$54</f>
        <v>1800000</v>
      </c>
      <c r="K13" s="19" t="n">
        <f aca="false">'2. Hypothèses'!$C$54</f>
        <v>1800000</v>
      </c>
      <c r="L13" s="19" t="n">
        <f aca="false">'2. Hypothèses'!$C$54</f>
        <v>1800000</v>
      </c>
      <c r="M13" s="19" t="n">
        <f aca="false">'2. Hypothèses'!$C$54</f>
        <v>1800000</v>
      </c>
      <c r="N13" s="20" t="n">
        <f aca="false">SUM(B13:M13)</f>
        <v>21600000</v>
      </c>
      <c r="O13" s="19" t="n">
        <f aca="false">'2. Hypothèses'!$D$54*12</f>
        <v>28800000</v>
      </c>
      <c r="P13" s="19" t="n">
        <f aca="false">'2. Hypothèses'!$E$54*12</f>
        <v>42000000</v>
      </c>
      <c r="Q13" s="20" t="n">
        <f aca="false">N13+O13+P13</f>
        <v>92400000</v>
      </c>
    </row>
    <row r="14" customFormat="false" ht="15" hidden="false" customHeight="false" outlineLevel="0" collapsed="false">
      <c r="A14" s="12" t="s">
        <v>253</v>
      </c>
      <c r="B14" s="19" t="n">
        <f aca="false">'2. Hypothèses'!$C$55</f>
        <v>2200000</v>
      </c>
      <c r="C14" s="19" t="n">
        <f aca="false">'2. Hypothèses'!$C$55</f>
        <v>2200000</v>
      </c>
      <c r="D14" s="19" t="n">
        <f aca="false">'2. Hypothèses'!$C$55</f>
        <v>2200000</v>
      </c>
      <c r="E14" s="19" t="n">
        <f aca="false">'2. Hypothèses'!$C$55</f>
        <v>2200000</v>
      </c>
      <c r="F14" s="19" t="n">
        <f aca="false">'2. Hypothèses'!$C$55</f>
        <v>2200000</v>
      </c>
      <c r="G14" s="19" t="n">
        <f aca="false">'2. Hypothèses'!$C$55</f>
        <v>2200000</v>
      </c>
      <c r="H14" s="19" t="n">
        <f aca="false">'2. Hypothèses'!$C$55</f>
        <v>2200000</v>
      </c>
      <c r="I14" s="19" t="n">
        <f aca="false">'2. Hypothèses'!$C$55</f>
        <v>2200000</v>
      </c>
      <c r="J14" s="19" t="n">
        <f aca="false">'2. Hypothèses'!$C$55</f>
        <v>2200000</v>
      </c>
      <c r="K14" s="19" t="n">
        <f aca="false">'2. Hypothèses'!$C$55</f>
        <v>2200000</v>
      </c>
      <c r="L14" s="19" t="n">
        <f aca="false">'2. Hypothèses'!$C$55</f>
        <v>2200000</v>
      </c>
      <c r="M14" s="19" t="n">
        <f aca="false">'2. Hypothèses'!$C$55</f>
        <v>2200000</v>
      </c>
      <c r="N14" s="20" t="n">
        <f aca="false">SUM(B14:M14)</f>
        <v>26400000</v>
      </c>
      <c r="O14" s="19" t="n">
        <f aca="false">'2. Hypothèses'!$D$55*12</f>
        <v>42000000</v>
      </c>
      <c r="P14" s="19" t="n">
        <f aca="false">'2. Hypothèses'!$E$55*12</f>
        <v>66000000</v>
      </c>
      <c r="Q14" s="20" t="n">
        <f aca="false">N14+O14+P14</f>
        <v>134400000</v>
      </c>
    </row>
    <row r="15" customFormat="false" ht="15" hidden="false" customHeight="false" outlineLevel="0" collapsed="false">
      <c r="A15" s="12" t="s">
        <v>254</v>
      </c>
      <c r="B15" s="19" t="n">
        <f aca="false">'2. Hypothèses'!$C$56</f>
        <v>4500000</v>
      </c>
      <c r="C15" s="19" t="n">
        <f aca="false">'2. Hypothèses'!$C$56</f>
        <v>4500000</v>
      </c>
      <c r="D15" s="19" t="n">
        <f aca="false">'2. Hypothèses'!$C$56</f>
        <v>4500000</v>
      </c>
      <c r="E15" s="19" t="n">
        <f aca="false">'2. Hypothèses'!$C$56</f>
        <v>4500000</v>
      </c>
      <c r="F15" s="19" t="n">
        <f aca="false">'2. Hypothèses'!$C$56</f>
        <v>4500000</v>
      </c>
      <c r="G15" s="19" t="n">
        <f aca="false">'2. Hypothèses'!$C$56</f>
        <v>4500000</v>
      </c>
      <c r="H15" s="19" t="n">
        <f aca="false">'2. Hypothèses'!$C$56</f>
        <v>4500000</v>
      </c>
      <c r="I15" s="19" t="n">
        <f aca="false">'2. Hypothèses'!$C$56</f>
        <v>4500000</v>
      </c>
      <c r="J15" s="19" t="n">
        <f aca="false">'2. Hypothèses'!$C$56</f>
        <v>4500000</v>
      </c>
      <c r="K15" s="19" t="n">
        <f aca="false">'2. Hypothèses'!$C$56</f>
        <v>4500000</v>
      </c>
      <c r="L15" s="19" t="n">
        <f aca="false">'2. Hypothèses'!$C$56</f>
        <v>4500000</v>
      </c>
      <c r="M15" s="19" t="n">
        <f aca="false">'2. Hypothèses'!$C$56</f>
        <v>4500000</v>
      </c>
      <c r="N15" s="20" t="n">
        <f aca="false">SUM(B15:M15)</f>
        <v>54000000</v>
      </c>
      <c r="O15" s="19" t="n">
        <f aca="false">'2. Hypothèses'!$D$56*12</f>
        <v>102000000</v>
      </c>
      <c r="P15" s="19" t="n">
        <f aca="false">'2. Hypothèses'!$E$56*12</f>
        <v>168000000</v>
      </c>
      <c r="Q15" s="20" t="n">
        <f aca="false">N15+O15+P15</f>
        <v>324000000</v>
      </c>
    </row>
    <row r="16" customFormat="false" ht="15" hidden="false" customHeight="false" outlineLevel="0" collapsed="false">
      <c r="A16" s="12" t="s">
        <v>255</v>
      </c>
      <c r="B16" s="19" t="n">
        <f aca="false">'2. Hypothèses'!$C$57</f>
        <v>1200000</v>
      </c>
      <c r="C16" s="19" t="n">
        <f aca="false">'2. Hypothèses'!$C$57</f>
        <v>1200000</v>
      </c>
      <c r="D16" s="19" t="n">
        <f aca="false">'2. Hypothèses'!$C$57</f>
        <v>1200000</v>
      </c>
      <c r="E16" s="19" t="n">
        <f aca="false">'2. Hypothèses'!$C$57</f>
        <v>1200000</v>
      </c>
      <c r="F16" s="19" t="n">
        <f aca="false">'2. Hypothèses'!$C$57</f>
        <v>1200000</v>
      </c>
      <c r="G16" s="19" t="n">
        <f aca="false">'2. Hypothèses'!$C$57</f>
        <v>1200000</v>
      </c>
      <c r="H16" s="19" t="n">
        <f aca="false">'2. Hypothèses'!$C$57</f>
        <v>1200000</v>
      </c>
      <c r="I16" s="19" t="n">
        <f aca="false">'2. Hypothèses'!$C$57</f>
        <v>1200000</v>
      </c>
      <c r="J16" s="19" t="n">
        <f aca="false">'2. Hypothèses'!$C$57</f>
        <v>1200000</v>
      </c>
      <c r="K16" s="19" t="n">
        <f aca="false">'2. Hypothèses'!$C$57</f>
        <v>1200000</v>
      </c>
      <c r="L16" s="19" t="n">
        <f aca="false">'2. Hypothèses'!$C$57</f>
        <v>1200000</v>
      </c>
      <c r="M16" s="19" t="n">
        <f aca="false">'2. Hypothèses'!$C$57</f>
        <v>1200000</v>
      </c>
      <c r="N16" s="20" t="n">
        <f aca="false">SUM(B16:M16)</f>
        <v>14400000</v>
      </c>
      <c r="O16" s="19" t="n">
        <f aca="false">'2. Hypothèses'!$D$57*12</f>
        <v>18000000</v>
      </c>
      <c r="P16" s="19" t="n">
        <f aca="false">'2. Hypothèses'!$E$57*12</f>
        <v>24000000</v>
      </c>
      <c r="Q16" s="20" t="n">
        <f aca="false">N16+O16+P16</f>
        <v>56400000</v>
      </c>
    </row>
    <row r="17" customFormat="false" ht="15" hidden="false" customHeight="false" outlineLevel="0" collapsed="false">
      <c r="A17" s="12" t="s">
        <v>256</v>
      </c>
      <c r="B17" s="19" t="n">
        <f aca="false">'2. Hypothèses'!$C$58</f>
        <v>450000</v>
      </c>
      <c r="C17" s="19" t="n">
        <f aca="false">'2. Hypothèses'!$C$58</f>
        <v>450000</v>
      </c>
      <c r="D17" s="19" t="n">
        <f aca="false">'2. Hypothèses'!$C$58</f>
        <v>450000</v>
      </c>
      <c r="E17" s="19" t="n">
        <f aca="false">'2. Hypothèses'!$C$58</f>
        <v>450000</v>
      </c>
      <c r="F17" s="19" t="n">
        <f aca="false">'2. Hypothèses'!$C$58</f>
        <v>450000</v>
      </c>
      <c r="G17" s="19" t="n">
        <f aca="false">'2. Hypothèses'!$C$58</f>
        <v>450000</v>
      </c>
      <c r="H17" s="19" t="n">
        <f aca="false">'2. Hypothèses'!$C$58</f>
        <v>450000</v>
      </c>
      <c r="I17" s="19" t="n">
        <f aca="false">'2. Hypothèses'!$C$58</f>
        <v>450000</v>
      </c>
      <c r="J17" s="19" t="n">
        <f aca="false">'2. Hypothèses'!$C$58</f>
        <v>450000</v>
      </c>
      <c r="K17" s="19" t="n">
        <f aca="false">'2. Hypothèses'!$C$58</f>
        <v>450000</v>
      </c>
      <c r="L17" s="19" t="n">
        <f aca="false">'2. Hypothèses'!$C$58</f>
        <v>450000</v>
      </c>
      <c r="M17" s="19" t="n">
        <f aca="false">'2. Hypothèses'!$C$58</f>
        <v>450000</v>
      </c>
      <c r="N17" s="20" t="n">
        <f aca="false">SUM(B17:M17)</f>
        <v>5400000</v>
      </c>
      <c r="O17" s="19" t="n">
        <f aca="false">'2. Hypothèses'!$D$58*12</f>
        <v>7200000</v>
      </c>
      <c r="P17" s="19" t="n">
        <f aca="false">'2. Hypothèses'!$E$58*12</f>
        <v>10200000</v>
      </c>
      <c r="Q17" s="20" t="n">
        <f aca="false">N17+O17+P17</f>
        <v>22800000</v>
      </c>
    </row>
    <row r="18" customFormat="false" ht="15" hidden="false" customHeight="false" outlineLevel="0" collapsed="false">
      <c r="A18" s="12" t="s">
        <v>257</v>
      </c>
      <c r="B18" s="19" t="n">
        <f aca="false">'2. Hypothèses'!$C$59</f>
        <v>800000</v>
      </c>
      <c r="C18" s="19" t="n">
        <f aca="false">'2. Hypothèses'!$C$59</f>
        <v>800000</v>
      </c>
      <c r="D18" s="19" t="n">
        <f aca="false">'2. Hypothèses'!$C$59</f>
        <v>800000</v>
      </c>
      <c r="E18" s="19" t="n">
        <f aca="false">'2. Hypothèses'!$C$59</f>
        <v>800000</v>
      </c>
      <c r="F18" s="19" t="n">
        <f aca="false">'2. Hypothèses'!$C$59</f>
        <v>800000</v>
      </c>
      <c r="G18" s="19" t="n">
        <f aca="false">'2. Hypothèses'!$C$59</f>
        <v>800000</v>
      </c>
      <c r="H18" s="19" t="n">
        <f aca="false">'2. Hypothèses'!$C$59</f>
        <v>800000</v>
      </c>
      <c r="I18" s="19" t="n">
        <f aca="false">'2. Hypothèses'!$C$59</f>
        <v>800000</v>
      </c>
      <c r="J18" s="19" t="n">
        <f aca="false">'2. Hypothèses'!$C$59</f>
        <v>800000</v>
      </c>
      <c r="K18" s="19" t="n">
        <f aca="false">'2. Hypothèses'!$C$59</f>
        <v>800000</v>
      </c>
      <c r="L18" s="19" t="n">
        <f aca="false">'2. Hypothèses'!$C$59</f>
        <v>800000</v>
      </c>
      <c r="M18" s="19" t="n">
        <f aca="false">'2. Hypothèses'!$C$59</f>
        <v>800000</v>
      </c>
      <c r="N18" s="20" t="n">
        <f aca="false">SUM(B18:M18)</f>
        <v>9600000</v>
      </c>
      <c r="O18" s="19" t="n">
        <f aca="false">'2. Hypothèses'!$D$59*12</f>
        <v>12000000</v>
      </c>
      <c r="P18" s="19" t="n">
        <f aca="false">'2. Hypothèses'!$E$59*12</f>
        <v>18000000</v>
      </c>
      <c r="Q18" s="20" t="n">
        <f aca="false">N18+O18+P18</f>
        <v>39600000</v>
      </c>
    </row>
    <row r="19" customFormat="false" ht="15" hidden="false" customHeight="false" outlineLevel="0" collapsed="false">
      <c r="A19" s="21" t="s">
        <v>258</v>
      </c>
      <c r="B19" s="22" t="n">
        <f aca="false">B13+B14+B15+B16+B17+B18</f>
        <v>10950000</v>
      </c>
      <c r="C19" s="22" t="n">
        <f aca="false">C13+C14+C15+C16+C17+C18</f>
        <v>10950000</v>
      </c>
      <c r="D19" s="22" t="n">
        <f aca="false">D13+D14+D15+D16+D17+D18</f>
        <v>10950000</v>
      </c>
      <c r="E19" s="22" t="n">
        <f aca="false">E13+E14+E15+E16+E17+E18</f>
        <v>10950000</v>
      </c>
      <c r="F19" s="22" t="n">
        <f aca="false">F13+F14+F15+F16+F17+F18</f>
        <v>10950000</v>
      </c>
      <c r="G19" s="22" t="n">
        <f aca="false">G13+G14+G15+G16+G17+G18</f>
        <v>10950000</v>
      </c>
      <c r="H19" s="22" t="n">
        <f aca="false">H13+H14+H15+H16+H17+H18</f>
        <v>10950000</v>
      </c>
      <c r="I19" s="22" t="n">
        <f aca="false">I13+I14+I15+I16+I17+I18</f>
        <v>10950000</v>
      </c>
      <c r="J19" s="22" t="n">
        <f aca="false">J13+J14+J15+J16+J17+J18</f>
        <v>10950000</v>
      </c>
      <c r="K19" s="22" t="n">
        <f aca="false">K13+K14+K15+K16+K17+K18</f>
        <v>10950000</v>
      </c>
      <c r="L19" s="22" t="n">
        <f aca="false">L13+L14+L15+L16+L17+L18</f>
        <v>10950000</v>
      </c>
      <c r="M19" s="22" t="n">
        <f aca="false">M13+M14+M15+M16+M17+M18</f>
        <v>10950000</v>
      </c>
      <c r="N19" s="22" t="n">
        <f aca="false">N13+N14+N15+N16+N17+N18</f>
        <v>131400000</v>
      </c>
      <c r="O19" s="22" t="n">
        <f aca="false">O13+O14+O15+O16+O17+O18</f>
        <v>210000000</v>
      </c>
      <c r="P19" s="22" t="n">
        <f aca="false">P13+P14+P15+P16+P17+P18</f>
        <v>328200000</v>
      </c>
      <c r="Q19" s="22" t="n">
        <f aca="false">Q13+Q14+Q15+Q16+Q17+Q18</f>
        <v>669600000</v>
      </c>
    </row>
    <row r="21" customFormat="false" ht="21.75" hidden="false" customHeight="true" outlineLevel="0" collapsed="false">
      <c r="A21" s="23" t="s">
        <v>259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customFormat="false" ht="15" hidden="false" customHeight="false" outlineLevel="0" collapsed="false">
      <c r="A22" s="21" t="s">
        <v>259</v>
      </c>
      <c r="B22" s="22" t="n">
        <f aca="false">B9+B19</f>
        <v>28600000</v>
      </c>
      <c r="C22" s="22" t="n">
        <f aca="false">C9+C19</f>
        <v>28600000</v>
      </c>
      <c r="D22" s="22" t="n">
        <f aca="false">D9+D19</f>
        <v>28600000</v>
      </c>
      <c r="E22" s="22" t="n">
        <f aca="false">E9+E19</f>
        <v>28600000</v>
      </c>
      <c r="F22" s="22" t="n">
        <f aca="false">F9+F19</f>
        <v>28600000</v>
      </c>
      <c r="G22" s="22" t="n">
        <f aca="false">G9+G19</f>
        <v>28600000</v>
      </c>
      <c r="H22" s="22" t="n">
        <f aca="false">H9+H19</f>
        <v>28600000</v>
      </c>
      <c r="I22" s="22" t="n">
        <f aca="false">I9+I19</f>
        <v>28600000</v>
      </c>
      <c r="J22" s="22" t="n">
        <f aca="false">J9+J19</f>
        <v>28600000</v>
      </c>
      <c r="K22" s="22" t="n">
        <f aca="false">K9+K19</f>
        <v>28600000</v>
      </c>
      <c r="L22" s="22" t="n">
        <f aca="false">L9+L19</f>
        <v>28600000</v>
      </c>
      <c r="M22" s="22" t="n">
        <f aca="false">M9+M19</f>
        <v>28600000</v>
      </c>
      <c r="N22" s="22" t="n">
        <f aca="false">N9+N19</f>
        <v>343200000</v>
      </c>
      <c r="O22" s="22" t="n">
        <f aca="false">O9+O19</f>
        <v>618000000</v>
      </c>
      <c r="P22" s="22" t="n">
        <f aca="false">P9+P19</f>
        <v>1042800000</v>
      </c>
      <c r="Q22" s="22" t="n">
        <f aca="false">Q9+Q19</f>
        <v>2004000000</v>
      </c>
    </row>
  </sheetData>
  <mergeCells count="5">
    <mergeCell ref="A1:Q1"/>
    <mergeCell ref="B2:N2"/>
    <mergeCell ref="A4:N4"/>
    <mergeCell ref="A12:N12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9" min="2" style="0" width="18"/>
  </cols>
  <sheetData>
    <row r="1" customFormat="false" ht="31.5" hidden="false" customHeight="true" outlineLevel="0" collapsed="false">
      <c r="A1" s="1" t="s">
        <v>260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4" t="s">
        <v>184</v>
      </c>
      <c r="B3" s="4" t="s">
        <v>43</v>
      </c>
      <c r="C3" s="4" t="s">
        <v>44</v>
      </c>
      <c r="D3" s="4" t="s">
        <v>45</v>
      </c>
      <c r="E3" s="4" t="s">
        <v>198</v>
      </c>
      <c r="F3" s="4" t="s">
        <v>261</v>
      </c>
      <c r="G3" s="4" t="s">
        <v>262</v>
      </c>
      <c r="H3" s="4" t="s">
        <v>263</v>
      </c>
      <c r="I3" s="4" t="s">
        <v>264</v>
      </c>
    </row>
    <row r="4" customFormat="false" ht="15" hidden="false" customHeight="false" outlineLevel="0" collapsed="false">
      <c r="A4" s="6" t="s">
        <v>265</v>
      </c>
      <c r="B4" s="19" t="n">
        <f aca="false">'2. Hypothèses'!$C$61</f>
        <v>35000000</v>
      </c>
      <c r="C4" s="19" t="n">
        <f aca="false">'2. Hypothèses'!$D$61</f>
        <v>25000000</v>
      </c>
      <c r="D4" s="19" t="n">
        <f aca="false">'2. Hypothèses'!$E$61</f>
        <v>30000000</v>
      </c>
      <c r="E4" s="20" t="n">
        <f aca="false">B4+C4+D4</f>
        <v>90000000</v>
      </c>
      <c r="F4" s="17" t="n">
        <f aca="false">'2. Hypothèses'!$C$64</f>
        <v>5</v>
      </c>
      <c r="G4" s="20" t="n">
        <f aca="false">B4/F4</f>
        <v>7000000</v>
      </c>
      <c r="H4" s="20" t="n">
        <f aca="false">(B4+C4)/F4</f>
        <v>12000000</v>
      </c>
      <c r="I4" s="20" t="n">
        <f aca="false">(B4+C4+D4)/F4</f>
        <v>18000000</v>
      </c>
    </row>
    <row r="5" customFormat="false" ht="15" hidden="false" customHeight="false" outlineLevel="0" collapsed="false">
      <c r="A5" s="6" t="s">
        <v>160</v>
      </c>
      <c r="B5" s="19" t="n">
        <f aca="false">'2. Hypothèses'!$C$62</f>
        <v>18000000</v>
      </c>
      <c r="C5" s="19" t="n">
        <f aca="false">'2. Hypothèses'!$D$62</f>
        <v>12000000</v>
      </c>
      <c r="D5" s="19" t="n">
        <f aca="false">'2. Hypothèses'!$E$62</f>
        <v>20000000</v>
      </c>
      <c r="E5" s="20" t="n">
        <f aca="false">B5+C5+D5</f>
        <v>50000000</v>
      </c>
      <c r="F5" s="17" t="n">
        <f aca="false">'2. Hypothèses'!$C$64</f>
        <v>5</v>
      </c>
      <c r="G5" s="20" t="n">
        <f aca="false">B5/F5</f>
        <v>3600000</v>
      </c>
      <c r="H5" s="20" t="n">
        <f aca="false">(B5+C5)/F5</f>
        <v>6000000</v>
      </c>
      <c r="I5" s="20" t="n">
        <f aca="false">(B5+C5+D5)/F5</f>
        <v>10000000</v>
      </c>
    </row>
    <row r="6" customFormat="false" ht="15" hidden="false" customHeight="false" outlineLevel="0" collapsed="false">
      <c r="A6" s="6" t="s">
        <v>162</v>
      </c>
      <c r="B6" s="19" t="n">
        <f aca="false">'2. Hypothèses'!$C$63</f>
        <v>25000000</v>
      </c>
      <c r="C6" s="19" t="n">
        <f aca="false">'2. Hypothèses'!$D$63</f>
        <v>5000000</v>
      </c>
      <c r="D6" s="19" t="n">
        <f aca="false">'2. Hypothèses'!$E$63</f>
        <v>8000000</v>
      </c>
      <c r="E6" s="20" t="n">
        <f aca="false">B6+C6+D6</f>
        <v>38000000</v>
      </c>
      <c r="F6" s="17" t="n">
        <f aca="false">'2. Hypothèses'!$C$64</f>
        <v>5</v>
      </c>
      <c r="G6" s="20" t="n">
        <f aca="false">B6/F6</f>
        <v>5000000</v>
      </c>
      <c r="H6" s="20" t="n">
        <f aca="false">(B6+C6)/F6</f>
        <v>6000000</v>
      </c>
      <c r="I6" s="20" t="n">
        <f aca="false">(B6+C6+D6)/F6</f>
        <v>7600000</v>
      </c>
    </row>
    <row r="7" customFormat="false" ht="15" hidden="false" customHeight="false" outlineLevel="0" collapsed="false">
      <c r="A7" s="21" t="s">
        <v>266</v>
      </c>
      <c r="B7" s="22" t="n">
        <f aca="false">B4+B5+B6</f>
        <v>78000000</v>
      </c>
      <c r="C7" s="22" t="n">
        <f aca="false">C4+C5+C6</f>
        <v>42000000</v>
      </c>
      <c r="D7" s="22" t="n">
        <f aca="false">D4+D5+D6</f>
        <v>58000000</v>
      </c>
      <c r="E7" s="22" t="n">
        <f aca="false">E4+E5+E6</f>
        <v>178000000</v>
      </c>
      <c r="F7" s="25"/>
      <c r="G7" s="22" t="n">
        <f aca="false">G4+G5+G6</f>
        <v>15600000</v>
      </c>
      <c r="H7" s="22" t="n">
        <f aca="false">H4+H5+H6</f>
        <v>24000000</v>
      </c>
      <c r="I7" s="22" t="n">
        <f aca="false">I4+I5+I6</f>
        <v>35600000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7" min="2" style="0" width="14"/>
  </cols>
  <sheetData>
    <row r="1" customFormat="false" ht="31.5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B2" s="16" t="s">
        <v>183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27.75" hidden="false" customHeight="true" outlineLevel="0" collapsed="false">
      <c r="A3" s="4" t="s">
        <v>184</v>
      </c>
      <c r="B3" s="4" t="s">
        <v>185</v>
      </c>
      <c r="C3" s="4" t="s">
        <v>186</v>
      </c>
      <c r="D3" s="4" t="s">
        <v>187</v>
      </c>
      <c r="E3" s="4" t="s">
        <v>188</v>
      </c>
      <c r="F3" s="4" t="s">
        <v>189</v>
      </c>
      <c r="G3" s="4" t="s">
        <v>190</v>
      </c>
      <c r="H3" s="4" t="s">
        <v>191</v>
      </c>
      <c r="I3" s="4" t="s">
        <v>192</v>
      </c>
      <c r="J3" s="4" t="s">
        <v>193</v>
      </c>
      <c r="K3" s="4" t="s">
        <v>194</v>
      </c>
      <c r="L3" s="4" t="s">
        <v>195</v>
      </c>
      <c r="M3" s="4" t="s">
        <v>196</v>
      </c>
      <c r="N3" s="4" t="s">
        <v>197</v>
      </c>
      <c r="O3" s="4" t="s">
        <v>44</v>
      </c>
      <c r="P3" s="4" t="s">
        <v>45</v>
      </c>
      <c r="Q3" s="4" t="s">
        <v>198</v>
      </c>
    </row>
    <row r="4" customFormat="false" ht="15" hidden="false" customHeight="false" outlineLevel="0" collapsed="false">
      <c r="A4" s="5" t="s">
        <v>268</v>
      </c>
      <c r="B4" s="19" t="n">
        <f aca="false">'3. Revenus'!B32</f>
        <v>16606722</v>
      </c>
      <c r="C4" s="19" t="n">
        <f aca="false">'3. Revenus'!C32</f>
        <v>21461048.73</v>
      </c>
      <c r="D4" s="19" t="n">
        <f aca="false">'3. Revenus'!D32</f>
        <v>26970474.02445</v>
      </c>
      <c r="E4" s="19" t="n">
        <f aca="false">'3. Revenus'!E32</f>
        <v>32287069.4335943</v>
      </c>
      <c r="F4" s="19" t="n">
        <f aca="false">'3. Revenus'!F32</f>
        <v>37417584.0034185</v>
      </c>
      <c r="G4" s="19" t="n">
        <f aca="false">'3. Revenus'!G32</f>
        <v>42368530.5632988</v>
      </c>
      <c r="H4" s="19" t="n">
        <f aca="false">'3. Revenus'!H32</f>
        <v>47146193.9935834</v>
      </c>
      <c r="I4" s="19" t="n">
        <f aca="false">'3. Revenus'!I32</f>
        <v>51756639.2038079</v>
      </c>
      <c r="J4" s="19" t="n">
        <f aca="false">'3. Revenus'!J32</f>
        <v>56205718.8316747</v>
      </c>
      <c r="K4" s="19" t="n">
        <f aca="false">'3. Revenus'!K32</f>
        <v>60499080.672566</v>
      </c>
      <c r="L4" s="19" t="n">
        <f aca="false">'3. Revenus'!L32</f>
        <v>64642174.8490262</v>
      </c>
      <c r="M4" s="19" t="n">
        <f aca="false">'3. Revenus'!M32</f>
        <v>68640260.7293103</v>
      </c>
      <c r="N4" s="20" t="n">
        <f aca="false">SUM(B4:M4)</f>
        <v>526001497.03473</v>
      </c>
      <c r="O4" s="19" t="n">
        <f aca="false">'3. Revenus'!O32</f>
        <v>4582364205.86823</v>
      </c>
      <c r="P4" s="19" t="n">
        <f aca="false">'3. Revenus'!P32</f>
        <v>14321308447.2347</v>
      </c>
      <c r="Q4" s="20" t="n">
        <f aca="false">N4+O4+P4</f>
        <v>19429674150.1377</v>
      </c>
    </row>
    <row r="5" customFormat="false" ht="15" hidden="false" customHeight="false" outlineLevel="0" collapsed="false">
      <c r="A5" s="6" t="s">
        <v>269</v>
      </c>
      <c r="B5" s="19" t="n">
        <f aca="false">-'4. Coûts variables'!B21</f>
        <v>-22217590.875</v>
      </c>
      <c r="C5" s="19" t="n">
        <f aca="false">-'4. Coûts variables'!C21</f>
        <v>-25131527.319375</v>
      </c>
      <c r="D5" s="19" t="n">
        <f aca="false">-'4. Coûts variables'!D21</f>
        <v>-28438475.9881969</v>
      </c>
      <c r="E5" s="19" t="n">
        <f aca="false">-'4. Coûts variables'!E21</f>
        <v>-31629681.45361</v>
      </c>
      <c r="F5" s="19" t="n">
        <f aca="false">-'4. Coûts variables'!F21</f>
        <v>-34709194.7277336</v>
      </c>
      <c r="G5" s="19" t="n">
        <f aca="false">-'4. Coûts variables'!G21</f>
        <v>-37680925.037263</v>
      </c>
      <c r="H5" s="19" t="n">
        <f aca="false">-'4. Coûts variables'!H21</f>
        <v>-40548644.7859588</v>
      </c>
      <c r="I5" s="19" t="n">
        <f aca="false">-'4. Coûts variables'!I21</f>
        <v>-43315994.3434502</v>
      </c>
      <c r="J5" s="19" t="n">
        <f aca="false">-'4. Coûts variables'!J21</f>
        <v>-45986486.6664294</v>
      </c>
      <c r="K5" s="19" t="n">
        <f aca="false">-'4. Coûts variables'!K21</f>
        <v>-48563511.7581044</v>
      </c>
      <c r="L5" s="19" t="n">
        <f aca="false">-'4. Coûts variables'!L21</f>
        <v>-51050340.9715708</v>
      </c>
      <c r="M5" s="19" t="n">
        <f aca="false">-'4. Coûts variables'!M21</f>
        <v>-53450131.1625658</v>
      </c>
      <c r="N5" s="20" t="n">
        <f aca="false">SUM(B5:M5)</f>
        <v>-462722505.089258</v>
      </c>
      <c r="O5" s="19" t="n">
        <f aca="false">-'4. Coûts variables'!O21</f>
        <v>-2699738362.00687</v>
      </c>
      <c r="P5" s="19" t="n">
        <f aca="false">-'4. Coûts variables'!P21</f>
        <v>-6933122205.59052</v>
      </c>
      <c r="Q5" s="20" t="n">
        <f aca="false">N5+O5+P5</f>
        <v>-10095583072.6866</v>
      </c>
    </row>
    <row r="6" customFormat="false" ht="15" hidden="false" customHeight="false" outlineLevel="0" collapsed="false">
      <c r="A6" s="21" t="s">
        <v>270</v>
      </c>
      <c r="B6" s="22" t="n">
        <f aca="false">B4+B5</f>
        <v>-5610868.875</v>
      </c>
      <c r="C6" s="22" t="n">
        <f aca="false">C4+C5</f>
        <v>-3670478.589375</v>
      </c>
      <c r="D6" s="22" t="n">
        <f aca="false">D4+D5</f>
        <v>-1468001.96374687</v>
      </c>
      <c r="E6" s="22" t="n">
        <f aca="false">E4+E5</f>
        <v>657387.979984272</v>
      </c>
      <c r="F6" s="22" t="n">
        <f aca="false">F4+F5</f>
        <v>2708389.27568482</v>
      </c>
      <c r="G6" s="22" t="n">
        <f aca="false">G4+G5</f>
        <v>4687605.52603584</v>
      </c>
      <c r="H6" s="22" t="n">
        <f aca="false">H4+H5</f>
        <v>6597549.2076246</v>
      </c>
      <c r="I6" s="22" t="n">
        <f aca="false">I4+I5</f>
        <v>8440644.86035774</v>
      </c>
      <c r="J6" s="22" t="n">
        <f aca="false">J4+J5</f>
        <v>10219232.1652452</v>
      </c>
      <c r="K6" s="22" t="n">
        <f aca="false">K4+K5</f>
        <v>11935568.9144616</v>
      </c>
      <c r="L6" s="22" t="n">
        <f aca="false">L4+L5</f>
        <v>13591833.8774555</v>
      </c>
      <c r="M6" s="22" t="n">
        <f aca="false">M4+M5</f>
        <v>15190129.5667445</v>
      </c>
      <c r="N6" s="22" t="n">
        <f aca="false">N4+N5</f>
        <v>63278991.9454723</v>
      </c>
      <c r="O6" s="22" t="n">
        <f aca="false">O4+O5</f>
        <v>1882625843.86136</v>
      </c>
      <c r="P6" s="22" t="n">
        <f aca="false">P4+P5</f>
        <v>7388186241.64421</v>
      </c>
      <c r="Q6" s="22" t="n">
        <f aca="false">Q4+Q5</f>
        <v>9334091077.45104</v>
      </c>
    </row>
    <row r="7" customFormat="false" ht="15" hidden="false" customHeight="false" outlineLevel="0" collapsed="false">
      <c r="A7" s="12" t="s">
        <v>242</v>
      </c>
      <c r="B7" s="24" t="n">
        <f aca="false">IFERROR(B6/B4,0)</f>
        <v>-0.337867333179902</v>
      </c>
      <c r="C7" s="24" t="n">
        <f aca="false">IFERROR(C6/C4,0)</f>
        <v>-0.171029786826964</v>
      </c>
      <c r="D7" s="24" t="n">
        <f aca="false">IFERROR(D6/D4,0)</f>
        <v>-0.0544299652433272</v>
      </c>
      <c r="E7" s="24" t="n">
        <f aca="false">IFERROR(E6/E4,0)</f>
        <v>0.0203607199884257</v>
      </c>
      <c r="F7" s="24" t="n">
        <f aca="false">IFERROR(F6/F4,0)</f>
        <v>0.0723827940210512</v>
      </c>
      <c r="G7" s="24" t="n">
        <f aca="false">IFERROR(G6/G4,0)</f>
        <v>0.110638850668482</v>
      </c>
      <c r="H7" s="24" t="n">
        <f aca="false">IFERROR(H6/H4,0)</f>
        <v>0.139938108440366</v>
      </c>
      <c r="I7" s="24" t="n">
        <f aca="false">IFERROR(I6/I4,0)</f>
        <v>0.163083325930806</v>
      </c>
      <c r="J7" s="24" t="n">
        <f aca="false">IFERROR(J6/J4,0)</f>
        <v>0.181818369690277</v>
      </c>
      <c r="K7" s="24" t="n">
        <f aca="false">IFERROR(K6/K4,0)</f>
        <v>0.197285128662689</v>
      </c>
      <c r="L7" s="24" t="n">
        <f aca="false">IFERROR(L6/L4,0)</f>
        <v>0.210262632858495</v>
      </c>
      <c r="M7" s="24" t="n">
        <f aca="false">IFERROR(M6/M4,0)</f>
        <v>0.221300580815803</v>
      </c>
      <c r="N7" s="24" t="n">
        <f aca="false">IFERROR(N6/N4,0)</f>
        <v>0.120301923667898</v>
      </c>
      <c r="O7" s="24" t="n">
        <f aca="false">IFERROR(O6/O4,0)</f>
        <v>0.410841600379657</v>
      </c>
      <c r="P7" s="24" t="n">
        <f aca="false">IFERROR(P6/P4,0)</f>
        <v>0.515887655717015</v>
      </c>
      <c r="Q7" s="24" t="n">
        <f aca="false">IFERROR(Q6/Q4,0)</f>
        <v>0.480403891764952</v>
      </c>
    </row>
    <row r="9" customFormat="false" ht="15" hidden="false" customHeight="false" outlineLevel="0" collapsed="false">
      <c r="A9" s="6" t="s">
        <v>271</v>
      </c>
      <c r="B9" s="19" t="n">
        <f aca="false">-'5. Charges fixes'!B22</f>
        <v>-28600000</v>
      </c>
      <c r="C9" s="19" t="n">
        <f aca="false">-'5. Charges fixes'!C22</f>
        <v>-28600000</v>
      </c>
      <c r="D9" s="19" t="n">
        <f aca="false">-'5. Charges fixes'!D22</f>
        <v>-28600000</v>
      </c>
      <c r="E9" s="19" t="n">
        <f aca="false">-'5. Charges fixes'!E22</f>
        <v>-28600000</v>
      </c>
      <c r="F9" s="19" t="n">
        <f aca="false">-'5. Charges fixes'!F22</f>
        <v>-28600000</v>
      </c>
      <c r="G9" s="19" t="n">
        <f aca="false">-'5. Charges fixes'!G22</f>
        <v>-28600000</v>
      </c>
      <c r="H9" s="19" t="n">
        <f aca="false">-'5. Charges fixes'!H22</f>
        <v>-28600000</v>
      </c>
      <c r="I9" s="19" t="n">
        <f aca="false">-'5. Charges fixes'!I22</f>
        <v>-28600000</v>
      </c>
      <c r="J9" s="19" t="n">
        <f aca="false">-'5. Charges fixes'!J22</f>
        <v>-28600000</v>
      </c>
      <c r="K9" s="19" t="n">
        <f aca="false">-'5. Charges fixes'!K22</f>
        <v>-28600000</v>
      </c>
      <c r="L9" s="19" t="n">
        <f aca="false">-'5. Charges fixes'!L22</f>
        <v>-28600000</v>
      </c>
      <c r="M9" s="19" t="n">
        <f aca="false">-'5. Charges fixes'!M22</f>
        <v>-28600000</v>
      </c>
      <c r="N9" s="20" t="n">
        <f aca="false">SUM(B9:M9)</f>
        <v>-343200000</v>
      </c>
      <c r="O9" s="19" t="n">
        <f aca="false">-'5. Charges fixes'!O22</f>
        <v>-618000000</v>
      </c>
      <c r="P9" s="19" t="n">
        <f aca="false">-'5. Charges fixes'!P22</f>
        <v>-1042800000</v>
      </c>
      <c r="Q9" s="20" t="n">
        <f aca="false">N9+O9+P9</f>
        <v>-2004000000</v>
      </c>
    </row>
    <row r="10" customFormat="false" ht="15" hidden="false" customHeight="false" outlineLevel="0" collapsed="false">
      <c r="A10" s="21" t="s">
        <v>272</v>
      </c>
      <c r="B10" s="22" t="n">
        <f aca="false">B6+B9</f>
        <v>-34210868.875</v>
      </c>
      <c r="C10" s="22" t="n">
        <f aca="false">C6+C9</f>
        <v>-32270478.589375</v>
      </c>
      <c r="D10" s="22" t="n">
        <f aca="false">D6+D9</f>
        <v>-30068001.9637469</v>
      </c>
      <c r="E10" s="22" t="n">
        <f aca="false">E6+E9</f>
        <v>-27942612.0200157</v>
      </c>
      <c r="F10" s="22" t="n">
        <f aca="false">F6+F9</f>
        <v>-25891610.7243152</v>
      </c>
      <c r="G10" s="22" t="n">
        <f aca="false">G6+G9</f>
        <v>-23912394.4739642</v>
      </c>
      <c r="H10" s="22" t="n">
        <f aca="false">H6+H9</f>
        <v>-22002450.7923754</v>
      </c>
      <c r="I10" s="22" t="n">
        <f aca="false">I6+I9</f>
        <v>-20159355.1396423</v>
      </c>
      <c r="J10" s="22" t="n">
        <f aca="false">J6+J9</f>
        <v>-18380767.8347548</v>
      </c>
      <c r="K10" s="22" t="n">
        <f aca="false">K6+K9</f>
        <v>-16664431.0855384</v>
      </c>
      <c r="L10" s="22" t="n">
        <f aca="false">L6+L9</f>
        <v>-15008166.1225445</v>
      </c>
      <c r="M10" s="22" t="n">
        <f aca="false">M6+M9</f>
        <v>-13409870.4332555</v>
      </c>
      <c r="N10" s="22" t="n">
        <f aca="false">N6+N9</f>
        <v>-279921008.054528</v>
      </c>
      <c r="O10" s="22" t="n">
        <f aca="false">O6+O9</f>
        <v>1264625843.86136</v>
      </c>
      <c r="P10" s="22" t="n">
        <f aca="false">P6+P9</f>
        <v>6345386241.64421</v>
      </c>
      <c r="Q10" s="22" t="n">
        <f aca="false">Q6+Q9</f>
        <v>7330091077.45104</v>
      </c>
    </row>
    <row r="11" customFormat="false" ht="15" hidden="false" customHeight="false" outlineLevel="0" collapsed="false">
      <c r="A11" s="12" t="s">
        <v>273</v>
      </c>
      <c r="B11" s="24" t="n">
        <f aca="false">IFERROR(B10/B4,0)</f>
        <v>-2.06006151454815</v>
      </c>
      <c r="C11" s="24" t="n">
        <f aca="false">IFERROR(C10/C4,0)</f>
        <v>-1.5036766839947</v>
      </c>
      <c r="D11" s="24" t="n">
        <f aca="false">IFERROR(D10/D4,0)</f>
        <v>-1.11484885050551</v>
      </c>
      <c r="E11" s="24" t="n">
        <f aca="false">IFERROR(E10/E4,0)</f>
        <v>-0.865442807607117</v>
      </c>
      <c r="F11" s="24" t="n">
        <f aca="false">IFERROR(F10/F4,0)</f>
        <v>-0.691963722776696</v>
      </c>
      <c r="G11" s="24" t="n">
        <f aca="false">IFERROR(G10/G4,0)</f>
        <v>-0.564390460467798</v>
      </c>
      <c r="H11" s="24" t="n">
        <f aca="false">IFERROR(H10/H4,0)</f>
        <v>-0.466685620378391</v>
      </c>
      <c r="I11" s="24" t="n">
        <f aca="false">IFERROR(I10/I4,0)</f>
        <v>-0.389502785531698</v>
      </c>
      <c r="J11" s="24" t="n">
        <f aca="false">IFERROR(J10/J4,0)</f>
        <v>-0.327026648121015</v>
      </c>
      <c r="K11" s="24" t="n">
        <f aca="false">IFERROR(K10/K4,0)</f>
        <v>-0.275449327498542</v>
      </c>
      <c r="L11" s="24" t="n">
        <f aca="false">IFERROR(L10/L4,0)</f>
        <v>-0.232172976196988</v>
      </c>
      <c r="M11" s="24" t="n">
        <f aca="false">IFERROR(M10/M4,0)</f>
        <v>-0.195364503146901</v>
      </c>
      <c r="N11" s="24" t="n">
        <f aca="false">IFERROR(N10/N4,0)</f>
        <v>-0.532167702245238</v>
      </c>
      <c r="O11" s="24" t="n">
        <f aca="false">IFERROR(O10/O4,0)</f>
        <v>0.275976720104846</v>
      </c>
      <c r="P11" s="24" t="n">
        <f aca="false">IFERROR(P10/P4,0)</f>
        <v>0.443073079881149</v>
      </c>
      <c r="Q11" s="24" t="n">
        <f aca="false">IFERROR(Q10/Q4,0)</f>
        <v>0.377262687001835</v>
      </c>
    </row>
    <row r="13" customFormat="false" ht="15" hidden="false" customHeight="false" outlineLevel="0" collapsed="false">
      <c r="A13" s="6" t="s">
        <v>274</v>
      </c>
      <c r="B13" s="19" t="n">
        <f aca="false">-'6. CAPEX &amp; Amort.'!G7/12</f>
        <v>-1300000</v>
      </c>
      <c r="C13" s="19" t="n">
        <f aca="false">-'6. CAPEX &amp; Amort.'!G7/12</f>
        <v>-1300000</v>
      </c>
      <c r="D13" s="19" t="n">
        <f aca="false">-'6. CAPEX &amp; Amort.'!G7/12</f>
        <v>-1300000</v>
      </c>
      <c r="E13" s="19" t="n">
        <f aca="false">-'6. CAPEX &amp; Amort.'!G7/12</f>
        <v>-1300000</v>
      </c>
      <c r="F13" s="19" t="n">
        <f aca="false">-'6. CAPEX &amp; Amort.'!G7/12</f>
        <v>-1300000</v>
      </c>
      <c r="G13" s="19" t="n">
        <f aca="false">-'6. CAPEX &amp; Amort.'!G7/12</f>
        <v>-1300000</v>
      </c>
      <c r="H13" s="19" t="n">
        <f aca="false">-'6. CAPEX &amp; Amort.'!G7/12</f>
        <v>-1300000</v>
      </c>
      <c r="I13" s="19" t="n">
        <f aca="false">-'6. CAPEX &amp; Amort.'!G7/12</f>
        <v>-1300000</v>
      </c>
      <c r="J13" s="19" t="n">
        <f aca="false">-'6. CAPEX &amp; Amort.'!G7/12</f>
        <v>-1300000</v>
      </c>
      <c r="K13" s="19" t="n">
        <f aca="false">-'6. CAPEX &amp; Amort.'!G7/12</f>
        <v>-1300000</v>
      </c>
      <c r="L13" s="19" t="n">
        <f aca="false">-'6. CAPEX &amp; Amort.'!G7/12</f>
        <v>-1300000</v>
      </c>
      <c r="M13" s="19" t="n">
        <f aca="false">-'6. CAPEX &amp; Amort.'!G7/12</f>
        <v>-1300000</v>
      </c>
      <c r="N13" s="20" t="n">
        <f aca="false">SUM(B13:M13)</f>
        <v>-15600000</v>
      </c>
      <c r="O13" s="19" t="n">
        <f aca="false">-'6. CAPEX &amp; Amort.'!H7</f>
        <v>-24000000</v>
      </c>
      <c r="P13" s="19" t="n">
        <f aca="false">-'6. CAPEX &amp; Amort.'!I7</f>
        <v>-35600000</v>
      </c>
      <c r="Q13" s="20" t="n">
        <f aca="false">N13+O13+P13</f>
        <v>-75200000</v>
      </c>
    </row>
    <row r="14" customFormat="false" ht="15" hidden="false" customHeight="false" outlineLevel="0" collapsed="false">
      <c r="A14" s="21" t="s">
        <v>275</v>
      </c>
      <c r="B14" s="22" t="n">
        <f aca="false">B10+B13</f>
        <v>-35510868.875</v>
      </c>
      <c r="C14" s="22" t="n">
        <f aca="false">C10+C13</f>
        <v>-33570478.589375</v>
      </c>
      <c r="D14" s="22" t="n">
        <f aca="false">D10+D13</f>
        <v>-31368001.9637469</v>
      </c>
      <c r="E14" s="22" t="n">
        <f aca="false">E10+E13</f>
        <v>-29242612.0200157</v>
      </c>
      <c r="F14" s="22" t="n">
        <f aca="false">F10+F13</f>
        <v>-27191610.7243152</v>
      </c>
      <c r="G14" s="22" t="n">
        <f aca="false">G10+G13</f>
        <v>-25212394.4739642</v>
      </c>
      <c r="H14" s="22" t="n">
        <f aca="false">H10+H13</f>
        <v>-23302450.7923754</v>
      </c>
      <c r="I14" s="22" t="n">
        <f aca="false">I10+I13</f>
        <v>-21459355.1396423</v>
      </c>
      <c r="J14" s="22" t="n">
        <f aca="false">J10+J13</f>
        <v>-19680767.8347548</v>
      </c>
      <c r="K14" s="22" t="n">
        <f aca="false">K10+K13</f>
        <v>-17964431.0855384</v>
      </c>
      <c r="L14" s="22" t="n">
        <f aca="false">L10+L13</f>
        <v>-16308166.1225445</v>
      </c>
      <c r="M14" s="22" t="n">
        <f aca="false">M10+M13</f>
        <v>-14709870.4332555</v>
      </c>
      <c r="N14" s="22" t="n">
        <f aca="false">N10+N13</f>
        <v>-295521008.054528</v>
      </c>
      <c r="O14" s="22" t="n">
        <f aca="false">O10+O13</f>
        <v>1240625843.86136</v>
      </c>
      <c r="P14" s="22" t="n">
        <f aca="false">P10+P13</f>
        <v>6309786241.64421</v>
      </c>
      <c r="Q14" s="22" t="n">
        <f aca="false">Q10+Q13</f>
        <v>7254891077.45104</v>
      </c>
    </row>
    <row r="16" customFormat="false" ht="15" hidden="false" customHeight="false" outlineLevel="0" collapsed="false">
      <c r="A16" s="6" t="s">
        <v>276</v>
      </c>
      <c r="B16" s="19" t="n">
        <f aca="false">-MAX(0,B14*'2. Hypothèses'!$C$7)</f>
        <v>-0</v>
      </c>
      <c r="C16" s="19" t="n">
        <f aca="false">-MAX(0,C14*'2. Hypothèses'!$C$7)</f>
        <v>-0</v>
      </c>
      <c r="D16" s="19" t="n">
        <f aca="false">-MAX(0,D14*'2. Hypothèses'!$C$7)</f>
        <v>-0</v>
      </c>
      <c r="E16" s="19" t="n">
        <f aca="false">-MAX(0,E14*'2. Hypothèses'!$C$7)</f>
        <v>-0</v>
      </c>
      <c r="F16" s="19" t="n">
        <f aca="false">-MAX(0,F14*'2. Hypothèses'!$C$7)</f>
        <v>-0</v>
      </c>
      <c r="G16" s="19" t="n">
        <f aca="false">-MAX(0,G14*'2. Hypothèses'!$C$7)</f>
        <v>-0</v>
      </c>
      <c r="H16" s="19" t="n">
        <f aca="false">-MAX(0,H14*'2. Hypothèses'!$C$7)</f>
        <v>-0</v>
      </c>
      <c r="I16" s="19" t="n">
        <f aca="false">-MAX(0,I14*'2. Hypothèses'!$C$7)</f>
        <v>-0</v>
      </c>
      <c r="J16" s="19" t="n">
        <f aca="false">-MAX(0,J14*'2. Hypothèses'!$C$7)</f>
        <v>-0</v>
      </c>
      <c r="K16" s="19" t="n">
        <f aca="false">-MAX(0,K14*'2. Hypothèses'!$C$7)</f>
        <v>-0</v>
      </c>
      <c r="L16" s="19" t="n">
        <f aca="false">-MAX(0,L14*'2. Hypothèses'!$C$7)</f>
        <v>-0</v>
      </c>
      <c r="M16" s="19" t="n">
        <f aca="false">-MAX(0,M14*'2. Hypothèses'!$C$7)</f>
        <v>-0</v>
      </c>
      <c r="N16" s="20" t="n">
        <f aca="false">SUM(B16:M16)</f>
        <v>0</v>
      </c>
      <c r="O16" s="19" t="n">
        <f aca="false">-MAX(0,O14*'2. Hypothèses'!$D$7)</f>
        <v>-372187753.158409</v>
      </c>
      <c r="P16" s="19" t="n">
        <f aca="false">-MAX(0,P14*'2. Hypothèses'!$E$7)</f>
        <v>-1892935872.49326</v>
      </c>
      <c r="Q16" s="20" t="n">
        <f aca="false">N16+O16+P16</f>
        <v>-2265123625.65167</v>
      </c>
    </row>
    <row r="17" customFormat="false" ht="15" hidden="false" customHeight="false" outlineLevel="0" collapsed="false">
      <c r="A17" s="21" t="s">
        <v>277</v>
      </c>
      <c r="B17" s="22" t="n">
        <f aca="false">B14+B16</f>
        <v>-35510868.875</v>
      </c>
      <c r="C17" s="22" t="n">
        <f aca="false">C14+C16</f>
        <v>-33570478.589375</v>
      </c>
      <c r="D17" s="22" t="n">
        <f aca="false">D14+D16</f>
        <v>-31368001.9637469</v>
      </c>
      <c r="E17" s="22" t="n">
        <f aca="false">E14+E16</f>
        <v>-29242612.0200157</v>
      </c>
      <c r="F17" s="22" t="n">
        <f aca="false">F14+F16</f>
        <v>-27191610.7243152</v>
      </c>
      <c r="G17" s="22" t="n">
        <f aca="false">G14+G16</f>
        <v>-25212394.4739642</v>
      </c>
      <c r="H17" s="22" t="n">
        <f aca="false">H14+H16</f>
        <v>-23302450.7923754</v>
      </c>
      <c r="I17" s="22" t="n">
        <f aca="false">I14+I16</f>
        <v>-21459355.1396423</v>
      </c>
      <c r="J17" s="22" t="n">
        <f aca="false">J14+J16</f>
        <v>-19680767.8347548</v>
      </c>
      <c r="K17" s="22" t="n">
        <f aca="false">K14+K16</f>
        <v>-17964431.0855384</v>
      </c>
      <c r="L17" s="22" t="n">
        <f aca="false">L14+L16</f>
        <v>-16308166.1225445</v>
      </c>
      <c r="M17" s="22" t="n">
        <f aca="false">M14+M16</f>
        <v>-14709870.4332555</v>
      </c>
      <c r="N17" s="22" t="n">
        <f aca="false">N14+N16</f>
        <v>-295521008.054528</v>
      </c>
      <c r="O17" s="22" t="n">
        <f aca="false">O14+O16</f>
        <v>868438090.702954</v>
      </c>
      <c r="P17" s="22" t="n">
        <f aca="false">P14+P16</f>
        <v>4416850369.15094</v>
      </c>
      <c r="Q17" s="22" t="n">
        <f aca="false">Q14+Q16</f>
        <v>4989767451.79937</v>
      </c>
    </row>
    <row r="18" customFormat="false" ht="15" hidden="false" customHeight="false" outlineLevel="0" collapsed="false">
      <c r="A18" s="12" t="s">
        <v>278</v>
      </c>
      <c r="B18" s="24" t="n">
        <f aca="false">IFERROR(B17/B4,0)</f>
        <v>-2.1383430682467</v>
      </c>
      <c r="C18" s="24" t="n">
        <f aca="false">IFERROR(C17/C4,0)</f>
        <v>-1.56425154295687</v>
      </c>
      <c r="D18" s="24" t="n">
        <f aca="false">IFERROR(D17/D4,0)</f>
        <v>-1.16304970892652</v>
      </c>
      <c r="E18" s="24" t="n">
        <f aca="false">IFERROR(E17/E4,0)</f>
        <v>-0.905706604316005</v>
      </c>
      <c r="F18" s="24" t="n">
        <f aca="false">IFERROR(F17/F4,0)</f>
        <v>-0.726706746267503</v>
      </c>
      <c r="G18" s="24" t="n">
        <f aca="false">IFERROR(G17/G4,0)</f>
        <v>-0.595073610973992</v>
      </c>
      <c r="H18" s="24" t="n">
        <f aca="false">IFERROR(H17/H4,0)</f>
        <v>-0.494259426233789</v>
      </c>
      <c r="I18" s="24" t="n">
        <f aca="false">IFERROR(I17/I4,0)</f>
        <v>-0.414620336052721</v>
      </c>
      <c r="J18" s="24" t="n">
        <f aca="false">IFERROR(J17/J4,0)</f>
        <v>-0.350155967112438</v>
      </c>
      <c r="K18" s="24" t="n">
        <f aca="false">IFERROR(K17/K4,0)</f>
        <v>-0.296937257324053</v>
      </c>
      <c r="L18" s="24" t="n">
        <f aca="false">IFERROR(L17/L4,0)</f>
        <v>-0.25228368569951</v>
      </c>
      <c r="M18" s="24" t="n">
        <f aca="false">IFERROR(M17/M4,0)</f>
        <v>-0.214303825145206</v>
      </c>
      <c r="N18" s="24" t="n">
        <f aca="false">IFERROR(N17/N4,0)</f>
        <v>-0.561825412514017</v>
      </c>
      <c r="O18" s="24" t="n">
        <f aca="false">IFERROR(O17/O4,0)</f>
        <v>0.189517474318349</v>
      </c>
      <c r="P18" s="24" t="n">
        <f aca="false">IFERROR(P17/P4,0)</f>
        <v>0.308411091446312</v>
      </c>
      <c r="Q18" s="24" t="n">
        <f aca="false">IFERROR(Q17/Q4,0)</f>
        <v>0.256811689853482</v>
      </c>
    </row>
  </sheetData>
  <mergeCells count="2">
    <mergeCell ref="A1:Q1"/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7" min="2" style="0" width="14"/>
  </cols>
  <sheetData>
    <row r="1" customFormat="false" ht="31.5" hidden="false" customHeight="true" outlineLevel="0" collapsed="false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B2" s="16" t="s">
        <v>183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27.75" hidden="false" customHeight="true" outlineLevel="0" collapsed="false">
      <c r="A3" s="4" t="s">
        <v>184</v>
      </c>
      <c r="B3" s="4" t="s">
        <v>185</v>
      </c>
      <c r="C3" s="4" t="s">
        <v>186</v>
      </c>
      <c r="D3" s="4" t="s">
        <v>187</v>
      </c>
      <c r="E3" s="4" t="s">
        <v>188</v>
      </c>
      <c r="F3" s="4" t="s">
        <v>189</v>
      </c>
      <c r="G3" s="4" t="s">
        <v>190</v>
      </c>
      <c r="H3" s="4" t="s">
        <v>191</v>
      </c>
      <c r="I3" s="4" t="s">
        <v>192</v>
      </c>
      <c r="J3" s="4" t="s">
        <v>193</v>
      </c>
      <c r="K3" s="4" t="s">
        <v>194</v>
      </c>
      <c r="L3" s="4" t="s">
        <v>195</v>
      </c>
      <c r="M3" s="4" t="s">
        <v>196</v>
      </c>
      <c r="N3" s="4" t="s">
        <v>197</v>
      </c>
      <c r="O3" s="4" t="s">
        <v>44</v>
      </c>
      <c r="P3" s="4" t="s">
        <v>45</v>
      </c>
      <c r="Q3" s="4" t="s">
        <v>198</v>
      </c>
    </row>
    <row r="4" customFormat="false" ht="15" hidden="false" customHeight="false" outlineLevel="0" collapsed="false">
      <c r="A4" s="5" t="s">
        <v>280</v>
      </c>
      <c r="B4" s="19" t="n">
        <f aca="false">'2. Hypothèses'!$C$66</f>
        <v>350000000</v>
      </c>
      <c r="C4" s="20" t="n">
        <f aca="false">B18</f>
        <v>237789131.125</v>
      </c>
      <c r="D4" s="20" t="n">
        <f aca="false">C18</f>
        <v>205518652.535625</v>
      </c>
      <c r="E4" s="20" t="n">
        <f aca="false">D18</f>
        <v>175450650.571878</v>
      </c>
      <c r="F4" s="20" t="n">
        <f aca="false">E18</f>
        <v>147508038.551862</v>
      </c>
      <c r="G4" s="20" t="n">
        <f aca="false">F18</f>
        <v>121616427.827547</v>
      </c>
      <c r="H4" s="20" t="n">
        <f aca="false">G18</f>
        <v>97704033.3535831</v>
      </c>
      <c r="I4" s="20" t="n">
        <f aca="false">H18</f>
        <v>75701582.5612077</v>
      </c>
      <c r="J4" s="20" t="n">
        <f aca="false">I18</f>
        <v>55542227.4215654</v>
      </c>
      <c r="K4" s="20" t="n">
        <f aca="false">J18</f>
        <v>37161459.5868106</v>
      </c>
      <c r="L4" s="20" t="n">
        <f aca="false">K18</f>
        <v>20497028.5012722</v>
      </c>
      <c r="M4" s="20" t="n">
        <f aca="false">L18</f>
        <v>5488862.37872772</v>
      </c>
    </row>
    <row r="5" customFormat="false" ht="19.5" hidden="false" customHeight="true" outlineLevel="0" collapsed="false">
      <c r="A5" s="11" t="s">
        <v>281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" hidden="false" customHeight="false" outlineLevel="0" collapsed="false">
      <c r="A6" s="12" t="s">
        <v>282</v>
      </c>
      <c r="B6" s="19" t="n">
        <f aca="false">'7. P&amp;L'!B4</f>
        <v>16606722</v>
      </c>
      <c r="C6" s="19" t="n">
        <f aca="false">'7. P&amp;L'!C4</f>
        <v>21461048.73</v>
      </c>
      <c r="D6" s="19" t="n">
        <f aca="false">'7. P&amp;L'!D4</f>
        <v>26970474.02445</v>
      </c>
      <c r="E6" s="19" t="n">
        <f aca="false">'7. P&amp;L'!E4</f>
        <v>32287069.4335943</v>
      </c>
      <c r="F6" s="19" t="n">
        <f aca="false">'7. P&amp;L'!F4</f>
        <v>37417584.0034185</v>
      </c>
      <c r="G6" s="19" t="n">
        <f aca="false">'7. P&amp;L'!G4</f>
        <v>42368530.5632988</v>
      </c>
      <c r="H6" s="19" t="n">
        <f aca="false">'7. P&amp;L'!H4</f>
        <v>47146193.9935834</v>
      </c>
      <c r="I6" s="19" t="n">
        <f aca="false">'7. P&amp;L'!I4</f>
        <v>51756639.2038079</v>
      </c>
      <c r="J6" s="19" t="n">
        <f aca="false">'7. P&amp;L'!J4</f>
        <v>56205718.8316747</v>
      </c>
      <c r="K6" s="19" t="n">
        <f aca="false">'7. P&amp;L'!K4</f>
        <v>60499080.672566</v>
      </c>
      <c r="L6" s="19" t="n">
        <f aca="false">'7. P&amp;L'!L4</f>
        <v>64642174.8490262</v>
      </c>
      <c r="M6" s="19" t="n">
        <f aca="false">'7. P&amp;L'!M4</f>
        <v>68640260.7293103</v>
      </c>
      <c r="N6" s="20" t="n">
        <f aca="false">SUM(B6:M6)</f>
        <v>526001497.03473</v>
      </c>
      <c r="O6" s="19" t="n">
        <f aca="false">'7. P&amp;L'!O4</f>
        <v>4582364205.86823</v>
      </c>
      <c r="P6" s="19" t="n">
        <f aca="false">'7. P&amp;L'!P4</f>
        <v>14321308447.2347</v>
      </c>
      <c r="Q6" s="20" t="n">
        <f aca="false">N6+O6+P6</f>
        <v>19429674150.1377</v>
      </c>
    </row>
    <row r="7" customFormat="false" ht="15" hidden="false" customHeight="false" outlineLevel="0" collapsed="false">
      <c r="A7" s="12" t="s">
        <v>283</v>
      </c>
      <c r="B7" s="20" t="n">
        <v>0</v>
      </c>
      <c r="C7" s="20" t="n">
        <v>0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f aca="false">SUM(B7:M7)</f>
        <v>0</v>
      </c>
      <c r="O7" s="19" t="n">
        <f aca="false">'2. Hypothèses'!$D$67</f>
        <v>800000000</v>
      </c>
      <c r="P7" s="19" t="n">
        <f aca="false">'2. Hypothèses'!$E$68</f>
        <v>1500000000</v>
      </c>
      <c r="Q7" s="20" t="n">
        <f aca="false">N7+O7+P7</f>
        <v>2300000000</v>
      </c>
    </row>
    <row r="8" customFormat="false" ht="15" hidden="false" customHeight="false" outlineLevel="0" collapsed="false">
      <c r="A8" s="21" t="s">
        <v>284</v>
      </c>
      <c r="B8" s="22" t="n">
        <f aca="false">B6+B7</f>
        <v>16606722</v>
      </c>
      <c r="C8" s="22" t="n">
        <f aca="false">C6+C7</f>
        <v>21461048.73</v>
      </c>
      <c r="D8" s="22" t="n">
        <f aca="false">D6+D7</f>
        <v>26970474.02445</v>
      </c>
      <c r="E8" s="22" t="n">
        <f aca="false">E6+E7</f>
        <v>32287069.4335943</v>
      </c>
      <c r="F8" s="22" t="n">
        <f aca="false">F6+F7</f>
        <v>37417584.0034185</v>
      </c>
      <c r="G8" s="22" t="n">
        <f aca="false">G6+G7</f>
        <v>42368530.5632988</v>
      </c>
      <c r="H8" s="22" t="n">
        <f aca="false">H6+H7</f>
        <v>47146193.9935834</v>
      </c>
      <c r="I8" s="22" t="n">
        <f aca="false">I6+I7</f>
        <v>51756639.2038079</v>
      </c>
      <c r="J8" s="22" t="n">
        <f aca="false">J6+J7</f>
        <v>56205718.8316747</v>
      </c>
      <c r="K8" s="22" t="n">
        <f aca="false">K6+K7</f>
        <v>60499080.672566</v>
      </c>
      <c r="L8" s="22" t="n">
        <f aca="false">L6+L7</f>
        <v>64642174.8490262</v>
      </c>
      <c r="M8" s="22" t="n">
        <f aca="false">M6+M7</f>
        <v>68640260.7293103</v>
      </c>
      <c r="N8" s="22" t="n">
        <f aca="false">N6+N7</f>
        <v>526001497.03473</v>
      </c>
      <c r="O8" s="22" t="n">
        <f aca="false">O6+O7</f>
        <v>5382364205.86823</v>
      </c>
      <c r="P8" s="22" t="n">
        <f aca="false">P6+P7</f>
        <v>15821308447.2347</v>
      </c>
      <c r="Q8" s="22" t="n">
        <f aca="false">Q6+Q7</f>
        <v>21729674150.1377</v>
      </c>
    </row>
    <row r="10" customFormat="false" ht="19.5" hidden="false" customHeight="true" outlineLevel="0" collapsed="false">
      <c r="A10" s="11" t="s">
        <v>285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5" hidden="false" customHeight="false" outlineLevel="0" collapsed="false">
      <c r="A11" s="12" t="s">
        <v>286</v>
      </c>
      <c r="B11" s="19" t="n">
        <f aca="false">-'7. P&amp;L'!B5</f>
        <v>22217590.875</v>
      </c>
      <c r="C11" s="19" t="n">
        <f aca="false">-'7. P&amp;L'!C5</f>
        <v>25131527.319375</v>
      </c>
      <c r="D11" s="19" t="n">
        <f aca="false">-'7. P&amp;L'!D5</f>
        <v>28438475.9881969</v>
      </c>
      <c r="E11" s="19" t="n">
        <f aca="false">-'7. P&amp;L'!E5</f>
        <v>31629681.45361</v>
      </c>
      <c r="F11" s="19" t="n">
        <f aca="false">-'7. P&amp;L'!F5</f>
        <v>34709194.7277336</v>
      </c>
      <c r="G11" s="19" t="n">
        <f aca="false">-'7. P&amp;L'!G5</f>
        <v>37680925.037263</v>
      </c>
      <c r="H11" s="19" t="n">
        <f aca="false">-'7. P&amp;L'!H5</f>
        <v>40548644.7859588</v>
      </c>
      <c r="I11" s="19" t="n">
        <f aca="false">-'7. P&amp;L'!I5</f>
        <v>43315994.3434502</v>
      </c>
      <c r="J11" s="19" t="n">
        <f aca="false">-'7. P&amp;L'!J5</f>
        <v>45986486.6664294</v>
      </c>
      <c r="K11" s="19" t="n">
        <f aca="false">-'7. P&amp;L'!K5</f>
        <v>48563511.7581044</v>
      </c>
      <c r="L11" s="19" t="n">
        <f aca="false">-'7. P&amp;L'!L5</f>
        <v>51050340.9715708</v>
      </c>
      <c r="M11" s="19" t="n">
        <f aca="false">-'7. P&amp;L'!M5</f>
        <v>53450131.1625658</v>
      </c>
      <c r="N11" s="20" t="n">
        <f aca="false">SUM(B11:M11)</f>
        <v>462722505.089258</v>
      </c>
      <c r="O11" s="19" t="n">
        <f aca="false">-'7. P&amp;L'!O5</f>
        <v>2699738362.00687</v>
      </c>
      <c r="P11" s="19" t="n">
        <f aca="false">-'7. P&amp;L'!P5</f>
        <v>6933122205.59052</v>
      </c>
      <c r="Q11" s="20" t="n">
        <f aca="false">N11+O11+P11</f>
        <v>10095583072.6866</v>
      </c>
    </row>
    <row r="12" customFormat="false" ht="15" hidden="false" customHeight="false" outlineLevel="0" collapsed="false">
      <c r="A12" s="12" t="s">
        <v>287</v>
      </c>
      <c r="B12" s="19" t="n">
        <f aca="false">-'7. P&amp;L'!B9</f>
        <v>28600000</v>
      </c>
      <c r="C12" s="19" t="n">
        <f aca="false">-'7. P&amp;L'!C9</f>
        <v>28600000</v>
      </c>
      <c r="D12" s="19" t="n">
        <f aca="false">-'7. P&amp;L'!D9</f>
        <v>28600000</v>
      </c>
      <c r="E12" s="19" t="n">
        <f aca="false">-'7. P&amp;L'!E9</f>
        <v>28600000</v>
      </c>
      <c r="F12" s="19" t="n">
        <f aca="false">-'7. P&amp;L'!F9</f>
        <v>28600000</v>
      </c>
      <c r="G12" s="19" t="n">
        <f aca="false">-'7. P&amp;L'!G9</f>
        <v>28600000</v>
      </c>
      <c r="H12" s="19" t="n">
        <f aca="false">-'7. P&amp;L'!H9</f>
        <v>28600000</v>
      </c>
      <c r="I12" s="19" t="n">
        <f aca="false">-'7. P&amp;L'!I9</f>
        <v>28600000</v>
      </c>
      <c r="J12" s="19" t="n">
        <f aca="false">-'7. P&amp;L'!J9</f>
        <v>28600000</v>
      </c>
      <c r="K12" s="19" t="n">
        <f aca="false">-'7. P&amp;L'!K9</f>
        <v>28600000</v>
      </c>
      <c r="L12" s="19" t="n">
        <f aca="false">-'7. P&amp;L'!L9</f>
        <v>28600000</v>
      </c>
      <c r="M12" s="19" t="n">
        <f aca="false">-'7. P&amp;L'!M9</f>
        <v>28600000</v>
      </c>
      <c r="N12" s="20" t="n">
        <f aca="false">SUM(B12:M12)</f>
        <v>343200000</v>
      </c>
      <c r="O12" s="19" t="n">
        <f aca="false">-'7. P&amp;L'!O9</f>
        <v>618000000</v>
      </c>
      <c r="P12" s="19" t="n">
        <f aca="false">-'7. P&amp;L'!P9</f>
        <v>1042800000</v>
      </c>
      <c r="Q12" s="20" t="n">
        <f aca="false">N12+O12+P12</f>
        <v>2004000000</v>
      </c>
    </row>
    <row r="13" customFormat="false" ht="15" hidden="false" customHeight="false" outlineLevel="0" collapsed="false">
      <c r="A13" s="12" t="s">
        <v>288</v>
      </c>
      <c r="B13" s="19" t="n">
        <f aca="false">-'7. P&amp;L'!B16</f>
        <v>0</v>
      </c>
      <c r="C13" s="19" t="n">
        <f aca="false">-'7. P&amp;L'!C16</f>
        <v>0</v>
      </c>
      <c r="D13" s="19" t="n">
        <f aca="false">-'7. P&amp;L'!D16</f>
        <v>0</v>
      </c>
      <c r="E13" s="19" t="n">
        <f aca="false">-'7. P&amp;L'!E16</f>
        <v>0</v>
      </c>
      <c r="F13" s="19" t="n">
        <f aca="false">-'7. P&amp;L'!F16</f>
        <v>0</v>
      </c>
      <c r="G13" s="19" t="n">
        <f aca="false">-'7. P&amp;L'!G16</f>
        <v>0</v>
      </c>
      <c r="H13" s="19" t="n">
        <f aca="false">-'7. P&amp;L'!H16</f>
        <v>0</v>
      </c>
      <c r="I13" s="19" t="n">
        <f aca="false">-'7. P&amp;L'!I16</f>
        <v>0</v>
      </c>
      <c r="J13" s="19" t="n">
        <f aca="false">-'7. P&amp;L'!J16</f>
        <v>0</v>
      </c>
      <c r="K13" s="19" t="n">
        <f aca="false">-'7. P&amp;L'!K16</f>
        <v>0</v>
      </c>
      <c r="L13" s="19" t="n">
        <f aca="false">-'7. P&amp;L'!L16</f>
        <v>0</v>
      </c>
      <c r="M13" s="19" t="n">
        <f aca="false">-'7. P&amp;L'!M16</f>
        <v>0</v>
      </c>
      <c r="N13" s="20" t="n">
        <f aca="false">SUM(B13:M13)</f>
        <v>0</v>
      </c>
      <c r="O13" s="19" t="n">
        <f aca="false">-'7. P&amp;L'!O16</f>
        <v>372187753.158409</v>
      </c>
      <c r="P13" s="19" t="n">
        <f aca="false">-'7. P&amp;L'!P16</f>
        <v>1892935872.49326</v>
      </c>
      <c r="Q13" s="20" t="n">
        <f aca="false">N13+O13+P13</f>
        <v>2265123625.65167</v>
      </c>
    </row>
    <row r="14" customFormat="false" ht="15" hidden="false" customHeight="false" outlineLevel="0" collapsed="false">
      <c r="A14" s="12" t="s">
        <v>289</v>
      </c>
      <c r="B14" s="19" t="n">
        <f aca="false">'6. CAPEX &amp; Amort.'!B7</f>
        <v>78000000</v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f aca="false">SUM(B14:M14)</f>
        <v>78000000</v>
      </c>
      <c r="O14" s="19" t="n">
        <f aca="false">'6. CAPEX &amp; Amort.'!C7</f>
        <v>42000000</v>
      </c>
      <c r="P14" s="19" t="n">
        <f aca="false">'6. CAPEX &amp; Amort.'!D7</f>
        <v>58000000</v>
      </c>
      <c r="Q14" s="20" t="n">
        <f aca="false">N14+O14+P14</f>
        <v>178000000</v>
      </c>
    </row>
    <row r="15" customFormat="false" ht="15" hidden="false" customHeight="false" outlineLevel="0" collapsed="false">
      <c r="A15" s="21" t="s">
        <v>290</v>
      </c>
      <c r="B15" s="22" t="n">
        <f aca="false">B11+B12+B13+B14</f>
        <v>128817590.875</v>
      </c>
      <c r="C15" s="22" t="n">
        <f aca="false">C11+C12+C13+C14</f>
        <v>53731527.319375</v>
      </c>
      <c r="D15" s="22" t="n">
        <f aca="false">D11+D12+D13+D14</f>
        <v>57038475.9881969</v>
      </c>
      <c r="E15" s="22" t="n">
        <f aca="false">E11+E12+E13+E14</f>
        <v>60229681.45361</v>
      </c>
      <c r="F15" s="22" t="n">
        <f aca="false">F11+F12+F13+F14</f>
        <v>63309194.7277336</v>
      </c>
      <c r="G15" s="22" t="n">
        <f aca="false">G11+G12+G13+G14</f>
        <v>66280925.037263</v>
      </c>
      <c r="H15" s="22" t="n">
        <f aca="false">H11+H12+H13+H14</f>
        <v>69148644.7859588</v>
      </c>
      <c r="I15" s="22" t="n">
        <f aca="false">I11+I12+I13+I14</f>
        <v>71915994.3434502</v>
      </c>
      <c r="J15" s="22" t="n">
        <f aca="false">J11+J12+J13+J14</f>
        <v>74586486.6664294</v>
      </c>
      <c r="K15" s="22" t="n">
        <f aca="false">K11+K12+K13+K14</f>
        <v>77163511.7581044</v>
      </c>
      <c r="L15" s="22" t="n">
        <f aca="false">L11+L12+L13+L14</f>
        <v>79650340.9715708</v>
      </c>
      <c r="M15" s="22" t="n">
        <f aca="false">M11+M12+M13+M14</f>
        <v>82050131.1625658</v>
      </c>
      <c r="N15" s="22" t="n">
        <f aca="false">N11+N12+N13+N14</f>
        <v>883922505.089258</v>
      </c>
      <c r="O15" s="22" t="n">
        <f aca="false">O11+O12+O13+O14</f>
        <v>3731926115.16528</v>
      </c>
      <c r="P15" s="22" t="n">
        <f aca="false">P11+P12+P13+P14</f>
        <v>9926858078.08378</v>
      </c>
      <c r="Q15" s="22" t="n">
        <f aca="false">Q11+Q12+Q13+Q14</f>
        <v>14542706698.3383</v>
      </c>
    </row>
    <row r="17" customFormat="false" ht="15" hidden="false" customHeight="false" outlineLevel="0" collapsed="false">
      <c r="A17" s="21" t="s">
        <v>291</v>
      </c>
      <c r="B17" s="22" t="n">
        <f aca="false">B8-B15</f>
        <v>-112210868.875</v>
      </c>
      <c r="C17" s="22" t="n">
        <f aca="false">C8-C15</f>
        <v>-32270478.589375</v>
      </c>
      <c r="D17" s="22" t="n">
        <f aca="false">D8-D15</f>
        <v>-30068001.9637469</v>
      </c>
      <c r="E17" s="22" t="n">
        <f aca="false">E8-E15</f>
        <v>-27942612.0200157</v>
      </c>
      <c r="F17" s="22" t="n">
        <f aca="false">F8-F15</f>
        <v>-25891610.7243152</v>
      </c>
      <c r="G17" s="22" t="n">
        <f aca="false">G8-G15</f>
        <v>-23912394.4739642</v>
      </c>
      <c r="H17" s="22" t="n">
        <f aca="false">H8-H15</f>
        <v>-22002450.7923754</v>
      </c>
      <c r="I17" s="22" t="n">
        <f aca="false">I8-I15</f>
        <v>-20159355.1396423</v>
      </c>
      <c r="J17" s="22" t="n">
        <f aca="false">J8-J15</f>
        <v>-18380767.8347548</v>
      </c>
      <c r="K17" s="22" t="n">
        <f aca="false">K8-K15</f>
        <v>-16664431.0855384</v>
      </c>
      <c r="L17" s="22" t="n">
        <f aca="false">L8-L15</f>
        <v>-15008166.1225445</v>
      </c>
      <c r="M17" s="22" t="n">
        <f aca="false">M8-M15</f>
        <v>-13409870.4332555</v>
      </c>
      <c r="N17" s="22" t="n">
        <f aca="false">N8-N15</f>
        <v>-357921008.054528</v>
      </c>
      <c r="O17" s="22" t="n">
        <f aca="false">O8-O15</f>
        <v>1650438090.70295</v>
      </c>
      <c r="P17" s="22" t="n">
        <f aca="false">P8-P15</f>
        <v>5894450369.15094</v>
      </c>
      <c r="Q17" s="22" t="n">
        <f aca="false">Q8-Q15</f>
        <v>7186967451.79937</v>
      </c>
    </row>
    <row r="18" customFormat="false" ht="15" hidden="false" customHeight="false" outlineLevel="0" collapsed="false">
      <c r="A18" s="21" t="s">
        <v>292</v>
      </c>
      <c r="B18" s="22" t="n">
        <f aca="false">B4+B17</f>
        <v>237789131.125</v>
      </c>
      <c r="C18" s="22" t="n">
        <f aca="false">C4+C17</f>
        <v>205518652.535625</v>
      </c>
      <c r="D18" s="22" t="n">
        <f aca="false">D4+D17</f>
        <v>175450650.571878</v>
      </c>
      <c r="E18" s="22" t="n">
        <f aca="false">E4+E17</f>
        <v>147508038.551862</v>
      </c>
      <c r="F18" s="22" t="n">
        <f aca="false">F4+F17</f>
        <v>121616427.827547</v>
      </c>
      <c r="G18" s="22" t="n">
        <f aca="false">G4+G17</f>
        <v>97704033.3535831</v>
      </c>
      <c r="H18" s="22" t="n">
        <f aca="false">H4+H17</f>
        <v>75701582.5612077</v>
      </c>
      <c r="I18" s="22" t="n">
        <f aca="false">I4+I17</f>
        <v>55542227.4215654</v>
      </c>
      <c r="J18" s="22" t="n">
        <f aca="false">J4+J17</f>
        <v>37161459.5868106</v>
      </c>
      <c r="K18" s="22" t="n">
        <f aca="false">K4+K17</f>
        <v>20497028.5012722</v>
      </c>
      <c r="L18" s="22" t="n">
        <f aca="false">L4+L17</f>
        <v>5488862.37872772</v>
      </c>
      <c r="M18" s="22" t="n">
        <f aca="false">M4+M17</f>
        <v>-7921008.05452775</v>
      </c>
      <c r="N18" s="22" t="n">
        <f aca="false">M18</f>
        <v>-7921008.05452775</v>
      </c>
      <c r="O18" s="22" t="n">
        <f aca="false">N18+O17</f>
        <v>1642517082.64843</v>
      </c>
      <c r="P18" s="22" t="n">
        <f aca="false">O18+P17</f>
        <v>7536967451.79937</v>
      </c>
      <c r="Q18" s="22" t="n">
        <f aca="false">P18</f>
        <v>7536967451.79937</v>
      </c>
    </row>
  </sheetData>
  <mergeCells count="4">
    <mergeCell ref="A1:Q1"/>
    <mergeCell ref="B2:N2"/>
    <mergeCell ref="A5:N5"/>
    <mergeCell ref="A10: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5" min="3" style="0" width="18"/>
    <col collapsed="false" customWidth="true" hidden="false" outlineLevel="0" max="6" min="6" style="0" width="35"/>
  </cols>
  <sheetData>
    <row r="1" customFormat="false" ht="31.5" hidden="false" customHeight="true" outlineLevel="0" collapsed="false">
      <c r="A1" s="1" t="s">
        <v>293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4" t="s">
        <v>294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295</v>
      </c>
    </row>
    <row r="4" customFormat="false" ht="19.5" hidden="false" customHeight="true" outlineLevel="0" collapsed="false">
      <c r="A4" s="11" t="s">
        <v>296</v>
      </c>
      <c r="B4" s="11"/>
      <c r="C4" s="11"/>
      <c r="D4" s="11"/>
      <c r="E4" s="11"/>
      <c r="F4" s="11"/>
    </row>
    <row r="5" customFormat="false" ht="15" hidden="false" customHeight="false" outlineLevel="0" collapsed="false">
      <c r="A5" s="5" t="s">
        <v>297</v>
      </c>
      <c r="B5" s="13" t="s">
        <v>60</v>
      </c>
      <c r="C5" s="17" t="n">
        <f aca="false">'3. Revenus'!N7/'2. Hypothèses'!$C$15</f>
        <v>24211.9357344367</v>
      </c>
      <c r="D5" s="17" t="n">
        <f aca="false">'3. Revenus'!O7/'2. Hypothèses'!$D$15</f>
        <v>118167.054378152</v>
      </c>
      <c r="E5" s="17" t="n">
        <f aca="false">'3. Revenus'!P7/'2. Hypothèses'!$E$15</f>
        <v>236727.663765016</v>
      </c>
      <c r="F5" s="6" t="s">
        <v>298</v>
      </c>
    </row>
    <row r="6" customFormat="false" ht="15" hidden="false" customHeight="false" outlineLevel="0" collapsed="false">
      <c r="A6" s="5" t="s">
        <v>299</v>
      </c>
      <c r="B6" s="13" t="s">
        <v>60</v>
      </c>
      <c r="C6" s="17" t="n">
        <f aca="false">'3. Revenus'!N7</f>
        <v>13316.5646539402</v>
      </c>
      <c r="D6" s="17" t="n">
        <f aca="false">'3. Revenus'!O7</f>
        <v>73263.5737144544</v>
      </c>
      <c r="E6" s="17" t="n">
        <f aca="false">'3. Revenus'!P7</f>
        <v>160974.811360211</v>
      </c>
      <c r="F6" s="6" t="s">
        <v>300</v>
      </c>
    </row>
    <row r="7" customFormat="false" ht="15" hidden="false" customHeight="false" outlineLevel="0" collapsed="false">
      <c r="A7" s="5" t="s">
        <v>301</v>
      </c>
      <c r="B7" s="13" t="s">
        <v>52</v>
      </c>
      <c r="C7" s="24" t="str">
        <f aca="false">"N/A"</f>
        <v>N/A</v>
      </c>
      <c r="D7" s="24" t="n">
        <f aca="false">D6/C6-1</f>
        <v>4.50168723078115</v>
      </c>
      <c r="E7" s="24" t="n">
        <f aca="false">E6/D6-1</f>
        <v>1.19720119015231</v>
      </c>
      <c r="F7" s="6" t="s">
        <v>302</v>
      </c>
    </row>
    <row r="8" customFormat="false" ht="15" hidden="false" customHeight="false" outlineLevel="0" collapsed="false">
      <c r="A8" s="5" t="s">
        <v>303</v>
      </c>
      <c r="B8" s="13" t="s">
        <v>52</v>
      </c>
      <c r="C8" s="26" t="n">
        <f aca="false">'2. Hypothèses'!$C$14</f>
        <v>0.035</v>
      </c>
      <c r="D8" s="26" t="n">
        <f aca="false">'2. Hypothèses'!$D$14</f>
        <v>0.025</v>
      </c>
      <c r="E8" s="26" t="n">
        <f aca="false">'2. Hypothèses'!$E$14</f>
        <v>0.02</v>
      </c>
      <c r="F8" s="6" t="s">
        <v>304</v>
      </c>
    </row>
    <row r="9" customFormat="false" ht="19.5" hidden="false" customHeight="true" outlineLevel="0" collapsed="false">
      <c r="A9" s="11" t="s">
        <v>305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5" t="s">
        <v>268</v>
      </c>
      <c r="B10" s="13" t="s">
        <v>49</v>
      </c>
      <c r="C10" s="19" t="n">
        <f aca="false">'7. P&amp;L'!N4</f>
        <v>526001497.03473</v>
      </c>
      <c r="D10" s="19" t="n">
        <f aca="false">'7. P&amp;L'!O4</f>
        <v>4582364205.86823</v>
      </c>
      <c r="E10" s="19" t="n">
        <f aca="false">'7. P&amp;L'!P4</f>
        <v>14321308447.2347</v>
      </c>
      <c r="F10" s="6" t="s">
        <v>306</v>
      </c>
    </row>
    <row r="11" customFormat="false" ht="15" hidden="false" customHeight="false" outlineLevel="0" collapsed="false">
      <c r="A11" s="5" t="s">
        <v>307</v>
      </c>
      <c r="B11" s="13" t="s">
        <v>52</v>
      </c>
      <c r="C11" s="24" t="str">
        <f aca="false">"N/A"</f>
        <v>N/A</v>
      </c>
      <c r="D11" s="24" t="n">
        <f aca="false">D10/C10-1</f>
        <v>7.71169422843995</v>
      </c>
      <c r="E11" s="24" t="n">
        <f aca="false">E10/D10-1</f>
        <v>2.1253099500242</v>
      </c>
      <c r="F11" s="6" t="s">
        <v>308</v>
      </c>
    </row>
    <row r="12" customFormat="false" ht="15" hidden="false" customHeight="false" outlineLevel="0" collapsed="false">
      <c r="A12" s="5" t="s">
        <v>309</v>
      </c>
      <c r="B12" s="13" t="s">
        <v>49</v>
      </c>
      <c r="C12" s="19" t="n">
        <f aca="false">'7. P&amp;L'!N4/'3. Revenus'!N7/12</f>
        <v>3291.64910210215</v>
      </c>
      <c r="D12" s="19" t="n">
        <f aca="false">'7. P&amp;L'!O4/'3. Revenus'!O7/12</f>
        <v>5212.19023945885</v>
      </c>
      <c r="E12" s="19" t="n">
        <f aca="false">'7. P&amp;L'!P4/'3. Revenus'!P7/12</f>
        <v>7413.8454365531</v>
      </c>
      <c r="F12" s="6" t="s">
        <v>310</v>
      </c>
    </row>
    <row r="13" customFormat="false" ht="15" hidden="false" customHeight="false" outlineLevel="0" collapsed="false">
      <c r="A13" s="5" t="s">
        <v>311</v>
      </c>
      <c r="B13" s="13" t="s">
        <v>49</v>
      </c>
      <c r="C13" s="19" t="n">
        <f aca="false">'7. P&amp;L'!N6</f>
        <v>63278991.9454723</v>
      </c>
      <c r="D13" s="19" t="n">
        <f aca="false">'7. P&amp;L'!O6</f>
        <v>1882625843.86136</v>
      </c>
      <c r="E13" s="19" t="n">
        <f aca="false">'7. P&amp;L'!P6</f>
        <v>7388186241.64421</v>
      </c>
      <c r="F13" s="6" t="s">
        <v>312</v>
      </c>
    </row>
    <row r="14" customFormat="false" ht="15" hidden="false" customHeight="false" outlineLevel="0" collapsed="false">
      <c r="A14" s="5" t="s">
        <v>313</v>
      </c>
      <c r="B14" s="13" t="s">
        <v>52</v>
      </c>
      <c r="C14" s="26" t="n">
        <f aca="false">IFERROR('7. P&amp;L'!N6/'7. P&amp;L'!N4,0)</f>
        <v>0.120301923667898</v>
      </c>
      <c r="D14" s="26" t="n">
        <f aca="false">IFERROR('7. P&amp;L'!O6/'7. P&amp;L'!O4,0)</f>
        <v>0.410841600379657</v>
      </c>
      <c r="E14" s="26" t="n">
        <f aca="false">IFERROR('7. P&amp;L'!P6/'7. P&amp;L'!P4,0)</f>
        <v>0.515887655717015</v>
      </c>
      <c r="F14" s="6" t="s">
        <v>314</v>
      </c>
    </row>
    <row r="15" customFormat="false" ht="15" hidden="false" customHeight="false" outlineLevel="0" collapsed="false">
      <c r="A15" s="5" t="s">
        <v>315</v>
      </c>
      <c r="B15" s="13" t="s">
        <v>49</v>
      </c>
      <c r="C15" s="19" t="n">
        <f aca="false">'7. P&amp;L'!N10</f>
        <v>-279921008.054528</v>
      </c>
      <c r="D15" s="19" t="n">
        <f aca="false">'7. P&amp;L'!O10</f>
        <v>1264625843.86136</v>
      </c>
      <c r="E15" s="19" t="n">
        <f aca="false">'7. P&amp;L'!P10</f>
        <v>6345386241.64421</v>
      </c>
      <c r="F15" s="6" t="s">
        <v>316</v>
      </c>
    </row>
    <row r="16" customFormat="false" ht="15" hidden="false" customHeight="false" outlineLevel="0" collapsed="false">
      <c r="A16" s="5" t="s">
        <v>317</v>
      </c>
      <c r="B16" s="13" t="s">
        <v>52</v>
      </c>
      <c r="C16" s="26" t="n">
        <f aca="false">IFERROR('7. P&amp;L'!N10/'7. P&amp;L'!N4,0)</f>
        <v>-0.532167702245238</v>
      </c>
      <c r="D16" s="26" t="n">
        <f aca="false">IFERROR('7. P&amp;L'!O10/'7. P&amp;L'!O4,0)</f>
        <v>0.275976720104846</v>
      </c>
      <c r="E16" s="26" t="n">
        <f aca="false">IFERROR('7. P&amp;L'!P10/'7. P&amp;L'!P4,0)</f>
        <v>0.443073079881149</v>
      </c>
      <c r="F16" s="6" t="s">
        <v>318</v>
      </c>
    </row>
    <row r="17" customFormat="false" ht="15" hidden="false" customHeight="false" outlineLevel="0" collapsed="false">
      <c r="A17" s="5" t="s">
        <v>319</v>
      </c>
      <c r="B17" s="13" t="s">
        <v>49</v>
      </c>
      <c r="C17" s="19" t="n">
        <f aca="false">'7. P&amp;L'!N17</f>
        <v>-295521008.054528</v>
      </c>
      <c r="D17" s="19" t="n">
        <f aca="false">'7. P&amp;L'!O17</f>
        <v>868438090.702954</v>
      </c>
      <c r="E17" s="19" t="n">
        <f aca="false">'7. P&amp;L'!P17</f>
        <v>4416850369.15094</v>
      </c>
      <c r="F17" s="6" t="s">
        <v>320</v>
      </c>
    </row>
    <row r="18" customFormat="false" ht="19.5" hidden="false" customHeight="true" outlineLevel="0" collapsed="false">
      <c r="A18" s="11" t="s">
        <v>321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5" t="s">
        <v>322</v>
      </c>
      <c r="B19" s="13" t="s">
        <v>49</v>
      </c>
      <c r="C19" s="19" t="n">
        <f aca="false">'2. Hypothèses'!$C$72</f>
        <v>3500</v>
      </c>
      <c r="D19" s="19" t="n">
        <f aca="false">'2. Hypothèses'!$D$72</f>
        <v>3000</v>
      </c>
      <c r="E19" s="19" t="n">
        <f aca="false">'2. Hypothèses'!$E$72</f>
        <v>2500</v>
      </c>
      <c r="F19" s="6" t="s">
        <v>323</v>
      </c>
    </row>
    <row r="20" customFormat="false" ht="15" hidden="false" customHeight="false" outlineLevel="0" collapsed="false">
      <c r="A20" s="5" t="s">
        <v>324</v>
      </c>
      <c r="B20" s="13" t="s">
        <v>49</v>
      </c>
      <c r="C20" s="19" t="n">
        <f aca="false">'7. P&amp;L'!N4/'3. Revenus'!N7</f>
        <v>39499.7892252258</v>
      </c>
      <c r="D20" s="19" t="n">
        <f aca="false">'7. P&amp;L'!O4/'3. Revenus'!O7</f>
        <v>62546.2828735062</v>
      </c>
      <c r="E20" s="19" t="n">
        <f aca="false">'7. P&amp;L'!P4/'3. Revenus'!P7</f>
        <v>88966.1452386372</v>
      </c>
      <c r="F20" s="6" t="s">
        <v>325</v>
      </c>
    </row>
    <row r="21" customFormat="false" ht="15" hidden="false" customHeight="false" outlineLevel="0" collapsed="false">
      <c r="A21" s="5" t="s">
        <v>326</v>
      </c>
      <c r="B21" s="13" t="s">
        <v>49</v>
      </c>
      <c r="C21" s="19" t="n">
        <f aca="false">'7. P&amp;L'!N6/'3. Revenus'!N7</f>
        <v>4751.90062827119</v>
      </c>
      <c r="D21" s="19" t="n">
        <f aca="false">'7. P&amp;L'!O6/'3. Revenus'!O7</f>
        <v>25696.61495355</v>
      </c>
      <c r="E21" s="19" t="n">
        <f aca="false">'7. P&amp;L'!P6/'3. Revenus'!P7</f>
        <v>45896.53610534</v>
      </c>
      <c r="F21" s="6" t="s">
        <v>327</v>
      </c>
    </row>
    <row r="22" customFormat="false" ht="15" hidden="false" customHeight="false" outlineLevel="0" collapsed="false">
      <c r="A22" s="5" t="s">
        <v>328</v>
      </c>
      <c r="B22" s="13" t="s">
        <v>49</v>
      </c>
      <c r="C22" s="19" t="n">
        <f aca="false">(C21/12)*(1/'2. Hypothèses'!$C$14)</f>
        <v>11314.0491149314</v>
      </c>
      <c r="D22" s="19" t="n">
        <f aca="false">(D21/12)*(1/'2. Hypothèses'!$D$14)</f>
        <v>85655.3831785001</v>
      </c>
      <c r="E22" s="19" t="n">
        <f aca="false">(E21/12)*(1/'2. Hypothèses'!$E$14)</f>
        <v>191235.567105583</v>
      </c>
      <c r="F22" s="6" t="s">
        <v>329</v>
      </c>
    </row>
    <row r="23" customFormat="false" ht="15" hidden="false" customHeight="false" outlineLevel="0" collapsed="false">
      <c r="A23" s="5" t="s">
        <v>330</v>
      </c>
      <c r="B23" s="13" t="s">
        <v>331</v>
      </c>
      <c r="C23" s="27" t="n">
        <f aca="false">IFERROR(C22/'2. Hypothèses'!$C$72,0)</f>
        <v>3.23258546140897</v>
      </c>
      <c r="D23" s="27" t="n">
        <f aca="false">IFERROR(D22/'2. Hypothèses'!$D$72,0)</f>
        <v>28.5517943928334</v>
      </c>
      <c r="E23" s="27" t="n">
        <f aca="false">IFERROR(E22/'2. Hypothèses'!$E$72,0)</f>
        <v>76.4942268422334</v>
      </c>
      <c r="F23" s="6" t="s">
        <v>332</v>
      </c>
    </row>
    <row r="24" customFormat="false" ht="15" hidden="false" customHeight="false" outlineLevel="0" collapsed="false">
      <c r="A24" s="5" t="s">
        <v>333</v>
      </c>
      <c r="B24" s="13" t="s">
        <v>334</v>
      </c>
      <c r="C24" s="28" t="n">
        <f aca="false">IFERROR('2. Hypothèses'!$C$72/(C21/12),0)</f>
        <v>8.83856866663482</v>
      </c>
      <c r="D24" s="28" t="n">
        <f aca="false">IFERROR('2. Hypothèses'!$D$72/(D21/12),0)</f>
        <v>1.40096273633997</v>
      </c>
      <c r="E24" s="28" t="n">
        <f aca="false">IFERROR('2. Hypothèses'!$E$72/(E21/12),0)</f>
        <v>0.653644099222327</v>
      </c>
      <c r="F24" s="6" t="s">
        <v>335</v>
      </c>
    </row>
    <row r="25" customFormat="false" ht="19.5" hidden="false" customHeight="true" outlineLevel="0" collapsed="false">
      <c r="A25" s="11" t="s">
        <v>336</v>
      </c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5" t="s">
        <v>337</v>
      </c>
      <c r="B26" s="13" t="s">
        <v>49</v>
      </c>
      <c r="C26" s="19" t="n">
        <f aca="false">-'7. P&amp;L'!N5</f>
        <v>462722505.089258</v>
      </c>
      <c r="D26" s="19" t="n">
        <f aca="false">-'7. P&amp;L'!O5</f>
        <v>2699738362.00687</v>
      </c>
      <c r="E26" s="19" t="n">
        <f aca="false">-'7. P&amp;L'!P5</f>
        <v>6933122205.59052</v>
      </c>
      <c r="F26" s="6" t="s">
        <v>338</v>
      </c>
    </row>
    <row r="27" customFormat="false" ht="15" hidden="false" customHeight="false" outlineLevel="0" collapsed="false">
      <c r="A27" s="5" t="s">
        <v>339</v>
      </c>
      <c r="B27" s="13" t="s">
        <v>49</v>
      </c>
      <c r="C27" s="19" t="n">
        <f aca="false">-'7. P&amp;L'!N9</f>
        <v>343200000</v>
      </c>
      <c r="D27" s="19" t="n">
        <f aca="false">-'7. P&amp;L'!O9</f>
        <v>618000000</v>
      </c>
      <c r="E27" s="19" t="n">
        <f aca="false">-'7. P&amp;L'!P9</f>
        <v>1042800000</v>
      </c>
      <c r="F27" s="6" t="s">
        <v>340</v>
      </c>
    </row>
    <row r="28" customFormat="false" ht="15" hidden="false" customHeight="false" outlineLevel="0" collapsed="false">
      <c r="A28" s="5" t="s">
        <v>341</v>
      </c>
      <c r="B28" s="13" t="s">
        <v>52</v>
      </c>
      <c r="C28" s="26" t="n">
        <f aca="false">IFERROR(-'7. P&amp;L'!N9/'7. P&amp;L'!N4,0)</f>
        <v>0.652469625913136</v>
      </c>
      <c r="D28" s="26" t="n">
        <f aca="false">IFERROR(-'7. P&amp;L'!O9/'7. P&amp;L'!O4,0)</f>
        <v>0.134864880274811</v>
      </c>
      <c r="E28" s="26" t="n">
        <f aca="false">IFERROR(-'7. P&amp;L'!P9/'7. P&amp;L'!P4,0)</f>
        <v>0.0728145758358659</v>
      </c>
      <c r="F28" s="6" t="s">
        <v>342</v>
      </c>
    </row>
    <row r="29" customFormat="false" ht="15" hidden="false" customHeight="false" outlineLevel="0" collapsed="false">
      <c r="A29" s="5" t="s">
        <v>343</v>
      </c>
      <c r="B29" s="13" t="s">
        <v>49</v>
      </c>
      <c r="C29" s="19" t="n">
        <f aca="false">IFERROR(-'7. P&amp;L'!N9/('7. P&amp;L'!N6/'7. P&amp;L'!N4),0)</f>
        <v>2852822212.11547</v>
      </c>
      <c r="D29" s="19" t="n">
        <f aca="false">IFERROR(-'7. P&amp;L'!O9/('7. P&amp;L'!O6/'7. P&amp;L'!O4),0)</f>
        <v>1504229365.84053</v>
      </c>
      <c r="E29" s="19" t="n">
        <f aca="false">IFERROR(-'7. P&amp;L'!P9/('7. P&amp;L'!P6/'7. P&amp;L'!P4),0)</f>
        <v>2021370328.29492</v>
      </c>
      <c r="F29" s="6" t="s">
        <v>344</v>
      </c>
    </row>
    <row r="30" customFormat="false" ht="19.5" hidden="false" customHeight="true" outlineLevel="0" collapsed="false">
      <c r="A30" s="11" t="s">
        <v>345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5" t="s">
        <v>346</v>
      </c>
      <c r="B31" s="13" t="s">
        <v>49</v>
      </c>
      <c r="C31" s="19" t="n">
        <f aca="false">'8. Trésorerie'!N18</f>
        <v>-7921008.05452775</v>
      </c>
      <c r="D31" s="19" t="n">
        <f aca="false">'8. Trésorerie'!O18</f>
        <v>1642517082.64843</v>
      </c>
      <c r="E31" s="19" t="n">
        <f aca="false">'8. Trésorerie'!P18</f>
        <v>7536967451.79937</v>
      </c>
      <c r="F31" s="6" t="s">
        <v>347</v>
      </c>
    </row>
    <row r="32" customFormat="false" ht="15" hidden="false" customHeight="false" outlineLevel="0" collapsed="false">
      <c r="A32" s="5" t="s">
        <v>348</v>
      </c>
      <c r="B32" s="13" t="s">
        <v>49</v>
      </c>
      <c r="C32" s="19" t="n">
        <f aca="false">MIN(0,'7. P&amp;L'!N10)</f>
        <v>-279921008.054528</v>
      </c>
      <c r="D32" s="19" t="n">
        <f aca="false">MIN(0,'7. P&amp;L'!O10)</f>
        <v>0</v>
      </c>
      <c r="E32" s="19" t="n">
        <f aca="false">MIN(0,'7. P&amp;L'!P10)</f>
        <v>0</v>
      </c>
      <c r="F32" s="6" t="s">
        <v>349</v>
      </c>
    </row>
    <row r="33" customFormat="false" ht="15" hidden="false" customHeight="false" outlineLevel="0" collapsed="false">
      <c r="A33" s="5" t="s">
        <v>350</v>
      </c>
      <c r="B33" s="13" t="s">
        <v>49</v>
      </c>
      <c r="C33" s="20" t="n">
        <f aca="false">C32/12</f>
        <v>-23326750.6712106</v>
      </c>
      <c r="D33" s="20" t="n">
        <f aca="false">D32/12</f>
        <v>0</v>
      </c>
      <c r="E33" s="20" t="n">
        <f aca="false">E32/12</f>
        <v>0</v>
      </c>
      <c r="F33" s="6" t="s">
        <v>351</v>
      </c>
    </row>
    <row r="34" customFormat="false" ht="15" hidden="false" customHeight="false" outlineLevel="0" collapsed="false">
      <c r="A34" s="5" t="s">
        <v>352</v>
      </c>
      <c r="B34" s="13" t="s">
        <v>334</v>
      </c>
      <c r="C34" s="29" t="n">
        <f aca="false">IFERROR(IF(C33&lt;0,C31/-C33,"Profitable"),0)</f>
        <v>-0.339567570561968</v>
      </c>
      <c r="D34" s="29" t="str">
        <f aca="false">IFERROR(IF(D33&lt;0,D31/-D33,"Profitable"),0)</f>
        <v>Profitable</v>
      </c>
      <c r="E34" s="29" t="str">
        <f aca="false">IFERROR(IF(E33&lt;0,E31/-E33,"Profitable"),0)</f>
        <v>Profitable</v>
      </c>
      <c r="F34" s="6" t="s">
        <v>353</v>
      </c>
    </row>
    <row r="35" customFormat="false" ht="19.5" hidden="false" customHeight="true" outlineLevel="0" collapsed="false">
      <c r="A35" s="11" t="s">
        <v>354</v>
      </c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5" t="s">
        <v>355</v>
      </c>
      <c r="B36" s="13" t="s">
        <v>126</v>
      </c>
      <c r="C36" s="17" t="n">
        <f aca="false">'2. Hypothèses'!$C$45+'2. Hypothèses'!$C$46+'2. Hypothèses'!$C$47+'2. Hypothèses'!$C$48</f>
        <v>25</v>
      </c>
      <c r="D36" s="17" t="n">
        <f aca="false">'2. Hypothèses'!$D$45+'2. Hypothèses'!$D$46+'2. Hypothèses'!$D$47+'2. Hypothèses'!$D$48</f>
        <v>46</v>
      </c>
      <c r="E36" s="17" t="n">
        <f aca="false">'2. Hypothèses'!$E$45+'2. Hypothèses'!$E$46+'2. Hypothèses'!$E$47+'2. Hypothèses'!$E$48</f>
        <v>76</v>
      </c>
      <c r="F36" s="6" t="s">
        <v>356</v>
      </c>
    </row>
    <row r="37" customFormat="false" ht="15" hidden="false" customHeight="false" outlineLevel="0" collapsed="false">
      <c r="A37" s="5" t="s">
        <v>357</v>
      </c>
      <c r="B37" s="13" t="s">
        <v>49</v>
      </c>
      <c r="C37" s="19" t="n">
        <f aca="false">'7. P&amp;L'!N4/C36</f>
        <v>21040059.8813892</v>
      </c>
      <c r="D37" s="19" t="n">
        <f aca="false">'7. P&amp;L'!O4/D36</f>
        <v>99616613.1710485</v>
      </c>
      <c r="E37" s="19" t="n">
        <f aca="false">'7. P&amp;L'!P4/E36</f>
        <v>188438269.042562</v>
      </c>
      <c r="F37" s="6" t="s">
        <v>358</v>
      </c>
    </row>
    <row r="38" customFormat="false" ht="15" hidden="false" customHeight="false" outlineLevel="0" collapsed="false">
      <c r="A38" s="5" t="s">
        <v>359</v>
      </c>
      <c r="B38" s="13" t="s">
        <v>60</v>
      </c>
      <c r="C38" s="17" t="n">
        <f aca="false">'3. Revenus'!N7/C36</f>
        <v>532.662586157608</v>
      </c>
      <c r="D38" s="17" t="n">
        <f aca="false">'3. Revenus'!O7/D36</f>
        <v>1592.68638509683</v>
      </c>
      <c r="E38" s="17" t="n">
        <f aca="false">'3. Revenus'!P7/E36</f>
        <v>2118.08962316067</v>
      </c>
      <c r="F38" s="6" t="s">
        <v>360</v>
      </c>
    </row>
  </sheetData>
  <mergeCells count="7">
    <mergeCell ref="A1:F1"/>
    <mergeCell ref="A4:F4"/>
    <mergeCell ref="A9:F9"/>
    <mergeCell ref="A18:F18"/>
    <mergeCell ref="A25:F25"/>
    <mergeCell ref="A30:F30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7" min="3" style="0" width="16"/>
    <col collapsed="false" customWidth="true" hidden="false" outlineLevel="0" max="8" min="8" style="0" width="32"/>
  </cols>
  <sheetData>
    <row r="1" customFormat="false" ht="31.5" hidden="false" customHeight="true" outlineLevel="0" collapsed="false">
      <c r="A1" s="1" t="s">
        <v>361</v>
      </c>
      <c r="B1" s="1"/>
      <c r="C1" s="1"/>
      <c r="D1" s="1"/>
      <c r="E1" s="1"/>
      <c r="F1" s="1"/>
      <c r="G1" s="1"/>
      <c r="H1" s="1"/>
    </row>
    <row r="3" customFormat="false" ht="39.75" hidden="false" customHeight="true" outlineLevel="0" collapsed="false">
      <c r="A3" s="30" t="s">
        <v>362</v>
      </c>
      <c r="B3" s="30"/>
      <c r="C3" s="30"/>
      <c r="D3" s="30"/>
      <c r="E3" s="30"/>
      <c r="F3" s="30"/>
      <c r="G3" s="30"/>
      <c r="H3" s="30"/>
    </row>
    <row r="4" customFormat="false" ht="15" hidden="false" customHeight="false" outlineLevel="0" collapsed="false">
      <c r="A4" s="30"/>
      <c r="B4" s="30"/>
      <c r="C4" s="30"/>
      <c r="D4" s="30"/>
      <c r="E4" s="30"/>
      <c r="F4" s="30"/>
      <c r="G4" s="30"/>
      <c r="H4" s="30"/>
    </row>
    <row r="6" customFormat="false" ht="27.75" hidden="false" customHeight="true" outlineLevel="0" collapsed="false">
      <c r="A6" s="4" t="s">
        <v>363</v>
      </c>
      <c r="B6" s="4" t="s">
        <v>42</v>
      </c>
      <c r="C6" s="4" t="s">
        <v>364</v>
      </c>
      <c r="D6" s="4" t="s">
        <v>365</v>
      </c>
      <c r="E6" s="4" t="s">
        <v>366</v>
      </c>
      <c r="F6" s="4" t="s">
        <v>367</v>
      </c>
      <c r="G6" s="4" t="s">
        <v>368</v>
      </c>
      <c r="H6" s="4" t="s">
        <v>295</v>
      </c>
    </row>
    <row r="7" customFormat="false" ht="15" hidden="false" customHeight="false" outlineLevel="0" collapsed="false">
      <c r="A7" s="5" t="s">
        <v>369</v>
      </c>
      <c r="B7" s="13" t="s">
        <v>60</v>
      </c>
      <c r="C7" s="18" t="n">
        <f aca="false">'3. Revenus'!P7*0.7*(1-('2. Hypothèses'!$E$14*1.5-'2. Hypothèses'!$E$14))</f>
        <v>111555.544272626</v>
      </c>
      <c r="D7" s="17" t="n">
        <f aca="false">'3. Revenus'!P7</f>
        <v>160974.811360211</v>
      </c>
      <c r="E7" s="18" t="n">
        <f aca="false">'3. Revenus'!P7*1.25*(1+('2. Hypothèses'!$E$14-'2. Hypothèses'!$E$14*0.7))</f>
        <v>202425.825285465</v>
      </c>
      <c r="F7" s="24" t="n">
        <f aca="false">C7/D7-1</f>
        <v>-0.307</v>
      </c>
      <c r="G7" s="24" t="n">
        <f aca="false">E7/D7-1</f>
        <v>0.2575</v>
      </c>
      <c r="H7" s="6" t="s">
        <v>370</v>
      </c>
    </row>
    <row r="8" customFormat="false" ht="15" hidden="false" customHeight="false" outlineLevel="0" collapsed="false">
      <c r="A8" s="5" t="s">
        <v>371</v>
      </c>
      <c r="B8" s="13" t="s">
        <v>49</v>
      </c>
      <c r="C8" s="20" t="n">
        <f aca="false">C7*('7. P&amp;L'!P4/'3. Revenus'!P7)*0.85</f>
        <v>8435966740.84361</v>
      </c>
      <c r="D8" s="19" t="n">
        <f aca="false">'7. P&amp;L'!P4</f>
        <v>14321308447.2347</v>
      </c>
      <c r="E8" s="20" t="n">
        <f aca="false">E7*('7. P&amp;L'!P4/'3. Revenus'!P7)*1.15</f>
        <v>20710402178.2573</v>
      </c>
      <c r="F8" s="24" t="n">
        <f aca="false">C8/D8-1</f>
        <v>-0.41095</v>
      </c>
      <c r="G8" s="24" t="n">
        <f aca="false">E8/D8-1</f>
        <v>0.446125</v>
      </c>
      <c r="H8" s="6" t="s">
        <v>372</v>
      </c>
    </row>
    <row r="9" customFormat="false" ht="15" hidden="false" customHeight="false" outlineLevel="0" collapsed="false">
      <c r="A9" s="5" t="s">
        <v>373</v>
      </c>
      <c r="B9" s="13" t="s">
        <v>49</v>
      </c>
      <c r="C9" s="20" t="n">
        <f aca="false">C8*('7. P&amp;L'!P6/'7. P&amp;L'!P4)</f>
        <v>4352011105.64052</v>
      </c>
      <c r="D9" s="19" t="n">
        <f aca="false">'7. P&amp;L'!P6</f>
        <v>7388186241.64421</v>
      </c>
      <c r="E9" s="20" t="n">
        <f aca="false">E8*('7. P&amp;L'!P6/'7. P&amp;L'!P4)</f>
        <v>10684240828.6977</v>
      </c>
      <c r="F9" s="24" t="n">
        <f aca="false">C9/D9-1</f>
        <v>-0.41095</v>
      </c>
      <c r="G9" s="24" t="n">
        <f aca="false">E9/D9-1</f>
        <v>0.446125</v>
      </c>
      <c r="H9" s="6" t="s">
        <v>374</v>
      </c>
    </row>
    <row r="10" customFormat="false" ht="15" hidden="false" customHeight="false" outlineLevel="0" collapsed="false">
      <c r="A10" s="5" t="s">
        <v>375</v>
      </c>
      <c r="B10" s="13" t="s">
        <v>49</v>
      </c>
      <c r="C10" s="20" t="n">
        <f aca="false">-'7. P&amp;L'!P9*1.2</f>
        <v>1251360000</v>
      </c>
      <c r="D10" s="19" t="n">
        <f aca="false">-'7. P&amp;L'!P9</f>
        <v>1042800000</v>
      </c>
      <c r="E10" s="20" t="n">
        <f aca="false">-'7. P&amp;L'!P9*0.9</f>
        <v>938520000</v>
      </c>
      <c r="F10" s="24" t="n">
        <f aca="false">C10/D10-1</f>
        <v>0.2</v>
      </c>
      <c r="G10" s="24" t="n">
        <f aca="false">E10/D10-1</f>
        <v>-0.1</v>
      </c>
      <c r="H10" s="6" t="s">
        <v>376</v>
      </c>
    </row>
    <row r="11" customFormat="false" ht="15" hidden="false" customHeight="false" outlineLevel="0" collapsed="false">
      <c r="A11" s="31" t="s">
        <v>377</v>
      </c>
      <c r="B11" s="32" t="s">
        <v>49</v>
      </c>
      <c r="C11" s="22" t="n">
        <f aca="false">C9-C10</f>
        <v>3100651105.64052</v>
      </c>
      <c r="D11" s="22" t="n">
        <f aca="false">D9-D10</f>
        <v>6345386241.64421</v>
      </c>
      <c r="E11" s="22" t="n">
        <f aca="false">E9-E10</f>
        <v>9745720828.69773</v>
      </c>
      <c r="F11" s="33" t="n">
        <f aca="false">IFERROR(C11/D11-1,0)</f>
        <v>-0.51135344838566</v>
      </c>
      <c r="G11" s="33" t="n">
        <f aca="false">IFERROR(E11/D11-1,0)</f>
        <v>0.535875115802633</v>
      </c>
      <c r="H11" s="21" t="s">
        <v>378</v>
      </c>
    </row>
    <row r="12" customFormat="false" ht="15" hidden="false" customHeight="false" outlineLevel="0" collapsed="false">
      <c r="A12" s="5" t="s">
        <v>379</v>
      </c>
      <c r="B12" s="13" t="s">
        <v>52</v>
      </c>
      <c r="C12" s="24" t="n">
        <f aca="false">IFERROR(C11/C8,0)</f>
        <v>0.367551366772037</v>
      </c>
      <c r="D12" s="24" t="n">
        <f aca="false">IFERROR(D11/D8,0)</f>
        <v>0.443073079881149</v>
      </c>
      <c r="E12" s="24" t="n">
        <f aca="false">IFERROR(E11/E8,0)</f>
        <v>0.47057129768968</v>
      </c>
      <c r="F12" s="34"/>
      <c r="G12" s="34"/>
      <c r="H12" s="6" t="s">
        <v>318</v>
      </c>
    </row>
    <row r="14" customFormat="false" ht="19.5" hidden="false" customHeight="true" outlineLevel="0" collapsed="false">
      <c r="A14" s="11" t="s">
        <v>380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6" t="s">
        <v>381</v>
      </c>
      <c r="B15" s="34"/>
      <c r="C15" s="13" t="s">
        <v>382</v>
      </c>
      <c r="D15" s="13" t="s">
        <v>383</v>
      </c>
      <c r="E15" s="13" t="s">
        <v>384</v>
      </c>
      <c r="F15" s="34"/>
      <c r="G15" s="34"/>
      <c r="H15" s="6" t="s">
        <v>385</v>
      </c>
    </row>
    <row r="16" customFormat="false" ht="15" hidden="false" customHeight="false" outlineLevel="0" collapsed="false">
      <c r="A16" s="6" t="s">
        <v>303</v>
      </c>
      <c r="B16" s="34"/>
      <c r="C16" s="13" t="s">
        <v>386</v>
      </c>
      <c r="D16" s="13" t="s">
        <v>383</v>
      </c>
      <c r="E16" s="13" t="s">
        <v>382</v>
      </c>
      <c r="F16" s="34"/>
      <c r="G16" s="34"/>
      <c r="H16" s="6" t="s">
        <v>385</v>
      </c>
    </row>
    <row r="17" customFormat="false" ht="15" hidden="false" customHeight="false" outlineLevel="0" collapsed="false">
      <c r="A17" s="6" t="s">
        <v>387</v>
      </c>
      <c r="B17" s="34"/>
      <c r="C17" s="13" t="s">
        <v>388</v>
      </c>
      <c r="D17" s="13" t="s">
        <v>383</v>
      </c>
      <c r="E17" s="13" t="s">
        <v>389</v>
      </c>
      <c r="F17" s="34"/>
      <c r="G17" s="34"/>
      <c r="H17" s="6" t="s">
        <v>385</v>
      </c>
    </row>
    <row r="18" customFormat="false" ht="15" hidden="false" customHeight="false" outlineLevel="0" collapsed="false">
      <c r="A18" s="6" t="s">
        <v>339</v>
      </c>
      <c r="B18" s="34"/>
      <c r="C18" s="13" t="s">
        <v>390</v>
      </c>
      <c r="D18" s="13" t="s">
        <v>383</v>
      </c>
      <c r="E18" s="13" t="s">
        <v>391</v>
      </c>
      <c r="F18" s="34"/>
      <c r="G18" s="34"/>
      <c r="H18" s="6" t="s">
        <v>385</v>
      </c>
    </row>
  </sheetData>
  <mergeCells count="3">
    <mergeCell ref="A1:H1"/>
    <mergeCell ref="A3:H4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2026-05-11T14:41:22Z</dcterms:created>
  <dc:creator>openpyxl</dc:creator>
  <dc:description/>
  <dc:language>en-US</dc:language>
  <cp:lastModifiedBy/>
  <dcterms:modified xsi:type="dcterms:W3CDTF">2026-05-11T14:41:22Z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